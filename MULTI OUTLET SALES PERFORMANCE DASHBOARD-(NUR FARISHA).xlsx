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ocuments\Farisha\"/>
    </mc:Choice>
  </mc:AlternateContent>
  <xr:revisionPtr revIDLastSave="0" documentId="13_ncr:1_{9504E06F-33CB-445E-B1A6-53AFF857963A}" xr6:coauthVersionLast="47" xr6:coauthVersionMax="47" xr10:uidLastSave="{00000000-0000-0000-0000-000000000000}"/>
  <bookViews>
    <workbookView xWindow="-120" yWindow="-120" windowWidth="20730" windowHeight="11040" firstSheet="3" activeTab="3" xr2:uid="{00000000-000D-0000-FFFF-FFFF00000000}"/>
  </bookViews>
  <sheets>
    <sheet name="RawData" sheetId="1" state="hidden" r:id="rId1"/>
    <sheet name="Analysis" sheetId="2" state="hidden" r:id="rId2"/>
    <sheet name="Pivot Table" sheetId="7" state="hidden" r:id="rId3"/>
    <sheet name="Dashboard" sheetId="6" r:id="rId4"/>
    <sheet name="Read Me" sheetId="3" state="hidden" r:id="rId5"/>
  </sheets>
  <definedNames>
    <definedName name="_xlnm._FilterDatabase" localSheetId="0" hidden="1">RawData!$A$1:$O$16</definedName>
    <definedName name="Slicer_Month">#N/A</definedName>
    <definedName name="Slicer_Outle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1" i="6" l="1"/>
  <c r="N4" i="2"/>
  <c r="O4" i="2" s="1"/>
  <c r="N5" i="2"/>
  <c r="O5" i="2" s="1"/>
  <c r="N6" i="2"/>
  <c r="O6" i="2" s="1"/>
  <c r="N7" i="2"/>
  <c r="O7" i="2" s="1"/>
  <c r="N8" i="2"/>
  <c r="O8" i="2" s="1"/>
  <c r="N9" i="2"/>
  <c r="O9" i="2" s="1"/>
  <c r="N10" i="2"/>
  <c r="O10" i="2" s="1"/>
  <c r="N11" i="2"/>
  <c r="O11" i="2" s="1"/>
  <c r="N12" i="2"/>
  <c r="O12" i="2" s="1"/>
  <c r="N13" i="2"/>
  <c r="O13" i="2" s="1"/>
  <c r="N14" i="2"/>
  <c r="O14" i="2" s="1"/>
  <c r="N15" i="2"/>
  <c r="O15" i="2" s="1"/>
  <c r="N16" i="2"/>
  <c r="O16" i="2" s="1"/>
  <c r="E30" i="6"/>
  <c r="F30" i="6"/>
  <c r="G30" i="6"/>
  <c r="H30" i="6"/>
  <c r="E31" i="6"/>
  <c r="F31" i="6"/>
  <c r="G31" i="6"/>
  <c r="H31" i="6"/>
  <c r="F29" i="6"/>
  <c r="G29" i="6"/>
  <c r="H29" i="6"/>
  <c r="E29" i="6"/>
  <c r="H25" i="6"/>
  <c r="I25" i="6" s="1"/>
  <c r="G25" i="6"/>
  <c r="F25" i="6"/>
  <c r="E25" i="6"/>
  <c r="H24" i="6"/>
  <c r="G24" i="6"/>
  <c r="I24" i="6" s="1"/>
  <c r="F24" i="6"/>
  <c r="E24" i="6"/>
  <c r="H23" i="6"/>
  <c r="I23" i="6" s="1"/>
  <c r="G23" i="6"/>
  <c r="F23" i="6"/>
  <c r="E23" i="6"/>
  <c r="H22" i="6"/>
  <c r="G22" i="6"/>
  <c r="I22" i="6" s="1"/>
  <c r="F22" i="6"/>
  <c r="E22" i="6"/>
  <c r="E21" i="6"/>
  <c r="F21" i="6"/>
  <c r="G21" i="6"/>
  <c r="H21" i="6"/>
  <c r="J2" i="2"/>
  <c r="L2" i="2"/>
  <c r="N2" i="2"/>
  <c r="O2" i="2" s="1"/>
  <c r="J3" i="2"/>
  <c r="L3" i="2"/>
  <c r="N3" i="2"/>
  <c r="O3" i="2" s="1"/>
  <c r="J4" i="2"/>
  <c r="L4" i="2"/>
  <c r="J5" i="2"/>
  <c r="L5" i="2"/>
  <c r="J6" i="2"/>
  <c r="L6" i="2"/>
  <c r="J7" i="2"/>
  <c r="L7" i="2"/>
  <c r="J8" i="2"/>
  <c r="L8" i="2"/>
  <c r="J9" i="2"/>
  <c r="L9" i="2"/>
  <c r="J10" i="2"/>
  <c r="L10" i="2"/>
  <c r="J11" i="2"/>
  <c r="L11" i="2"/>
  <c r="J12" i="2"/>
  <c r="L12" i="2"/>
  <c r="J13" i="2"/>
  <c r="L13" i="2"/>
  <c r="J14" i="2"/>
  <c r="L14" i="2"/>
  <c r="J15" i="2"/>
  <c r="L15" i="2"/>
  <c r="J16" i="2"/>
  <c r="L16" i="2"/>
  <c r="D16" i="2"/>
  <c r="C16" i="2"/>
  <c r="Q16" i="2" s="1"/>
  <c r="B16" i="2"/>
  <c r="A16" i="2"/>
  <c r="D15" i="2"/>
  <c r="C15" i="2"/>
  <c r="P15" i="2" s="1"/>
  <c r="B15" i="2"/>
  <c r="A15" i="2"/>
  <c r="D14" i="2"/>
  <c r="C14" i="2"/>
  <c r="Q14" i="2" s="1"/>
  <c r="B14" i="2"/>
  <c r="A14" i="2"/>
  <c r="D13" i="2"/>
  <c r="C13" i="2"/>
  <c r="P13" i="2" s="1"/>
  <c r="B13" i="2"/>
  <c r="A13" i="2"/>
  <c r="D12" i="2"/>
  <c r="C12" i="2"/>
  <c r="Q12" i="2" s="1"/>
  <c r="B12" i="2"/>
  <c r="A12" i="2"/>
  <c r="D11" i="2"/>
  <c r="C11" i="2"/>
  <c r="P11" i="2" s="1"/>
  <c r="B11" i="2"/>
  <c r="A11" i="2"/>
  <c r="D10" i="2"/>
  <c r="C10" i="2"/>
  <c r="Q10" i="2" s="1"/>
  <c r="B10" i="2"/>
  <c r="A10" i="2"/>
  <c r="D9" i="2"/>
  <c r="C9" i="2"/>
  <c r="P9" i="2" s="1"/>
  <c r="B9" i="2"/>
  <c r="A9" i="2"/>
  <c r="D8" i="2"/>
  <c r="C8" i="2"/>
  <c r="Q8" i="2" s="1"/>
  <c r="B8" i="2"/>
  <c r="A8" i="2"/>
  <c r="D7" i="2"/>
  <c r="C7" i="2"/>
  <c r="Q7" i="2" s="1"/>
  <c r="B7" i="2"/>
  <c r="A7" i="2"/>
  <c r="D6" i="2"/>
  <c r="C6" i="2"/>
  <c r="Q6" i="2" s="1"/>
  <c r="B6" i="2"/>
  <c r="A6" i="2"/>
  <c r="D5" i="2"/>
  <c r="C5" i="2"/>
  <c r="P5" i="2" s="1"/>
  <c r="B5" i="2"/>
  <c r="A5" i="2"/>
  <c r="D4" i="2"/>
  <c r="C4" i="2"/>
  <c r="P4" i="2" s="1"/>
  <c r="B4" i="2"/>
  <c r="A4" i="2"/>
  <c r="D3" i="2"/>
  <c r="C3" i="2"/>
  <c r="Q3" i="2" s="1"/>
  <c r="B3" i="2"/>
  <c r="A3" i="2"/>
  <c r="D2" i="2"/>
  <c r="C2" i="2"/>
  <c r="P2" i="2" s="1"/>
  <c r="B2" i="2"/>
  <c r="A2" i="2"/>
  <c r="B16" i="7"/>
  <c r="B7" i="7"/>
  <c r="B10" i="7"/>
  <c r="B19" i="7"/>
  <c r="B13" i="7"/>
  <c r="B4" i="7"/>
  <c r="Q5" i="2" l="1"/>
  <c r="H10" i="2"/>
  <c r="I10" i="2" s="1"/>
  <c r="H13" i="2"/>
  <c r="I13" i="2" s="1"/>
  <c r="H12" i="2"/>
  <c r="I12" i="2" s="1"/>
  <c r="P12" i="2"/>
  <c r="H16" i="2"/>
  <c r="I16" i="2" s="1"/>
  <c r="K10" i="2"/>
  <c r="M10" i="2" s="1"/>
  <c r="H8" i="2"/>
  <c r="I8" i="2" s="1"/>
  <c r="K13" i="2"/>
  <c r="M13" i="2" s="1"/>
  <c r="P10" i="2"/>
  <c r="H5" i="2"/>
  <c r="I5" i="2" s="1"/>
  <c r="K5" i="2"/>
  <c r="M5" i="2" s="1"/>
  <c r="K8" i="2"/>
  <c r="M8" i="2" s="1"/>
  <c r="K12" i="2"/>
  <c r="M12" i="2" s="1"/>
  <c r="K15" i="2"/>
  <c r="M15" i="2" s="1"/>
  <c r="H14" i="2"/>
  <c r="I14" i="2" s="1"/>
  <c r="K11" i="2"/>
  <c r="M11" i="2" s="1"/>
  <c r="K7" i="2"/>
  <c r="M7" i="2" s="1"/>
  <c r="H6" i="2"/>
  <c r="I6" i="2" s="1"/>
  <c r="K3" i="2"/>
  <c r="M3" i="2" s="1"/>
  <c r="K16" i="2"/>
  <c r="M16" i="2" s="1"/>
  <c r="H15" i="2"/>
  <c r="I15" i="2" s="1"/>
  <c r="H11" i="2"/>
  <c r="I11" i="2" s="1"/>
  <c r="H7" i="2"/>
  <c r="I7" i="2" s="1"/>
  <c r="K4" i="2"/>
  <c r="M4" i="2" s="1"/>
  <c r="H3" i="2"/>
  <c r="I3" i="2" s="1"/>
  <c r="Q4" i="2"/>
  <c r="Q11" i="2"/>
  <c r="P6" i="2"/>
  <c r="Q15" i="2"/>
  <c r="K9" i="2"/>
  <c r="M9" i="2" s="1"/>
  <c r="H4" i="2"/>
  <c r="I4" i="2" s="1"/>
  <c r="K14" i="2"/>
  <c r="M14" i="2" s="1"/>
  <c r="H9" i="2"/>
  <c r="I9" i="2" s="1"/>
  <c r="K6" i="2"/>
  <c r="M6" i="2" s="1"/>
  <c r="K2" i="2"/>
  <c r="M2" i="2" s="1"/>
  <c r="H2" i="2"/>
  <c r="I2" i="2" s="1"/>
  <c r="P8" i="2"/>
  <c r="Q13" i="2"/>
  <c r="Q9" i="2"/>
  <c r="P14" i="2"/>
  <c r="P3" i="2"/>
  <c r="P7" i="2"/>
  <c r="Q2" i="2"/>
  <c r="P16" i="2"/>
</calcChain>
</file>

<file path=xl/sharedStrings.xml><?xml version="1.0" encoding="utf-8"?>
<sst xmlns="http://schemas.openxmlformats.org/spreadsheetml/2006/main" count="177" uniqueCount="86">
  <si>
    <t>Month</t>
  </si>
  <si>
    <t>Outlet</t>
  </si>
  <si>
    <t>Region</t>
  </si>
  <si>
    <t>Outlet Type</t>
  </si>
  <si>
    <t>Budget Sales (RM)</t>
  </si>
  <si>
    <t>Actual Sales (RM)</t>
  </si>
  <si>
    <t>Opening Stock (RM)</t>
  </si>
  <si>
    <t>Purchases (RM)</t>
  </si>
  <si>
    <t>Transfer In (RM)</t>
  </si>
  <si>
    <t>Transfer Out (RM)</t>
  </si>
  <si>
    <t>Closing Stock (RM)</t>
  </si>
  <si>
    <t>Wastage Cost (RM)</t>
  </si>
  <si>
    <t>System Stock Value (RM)</t>
  </si>
  <si>
    <t>Physical Stock Value (RM)</t>
  </si>
  <si>
    <t>Transactions</t>
  </si>
  <si>
    <t>Outlet A</t>
  </si>
  <si>
    <t>Central</t>
  </si>
  <si>
    <t>Restaurant</t>
  </si>
  <si>
    <t>Outlet B</t>
  </si>
  <si>
    <t>North</t>
  </si>
  <si>
    <t>Outlet C</t>
  </si>
  <si>
    <t>South</t>
  </si>
  <si>
    <t>Outlet D</t>
  </si>
  <si>
    <t>Outlet E</t>
  </si>
  <si>
    <t>East</t>
  </si>
  <si>
    <t>Sales Variance (RM)</t>
  </si>
  <si>
    <t>Sales Variance %</t>
  </si>
  <si>
    <t>COGS / Stock Usage (RM)</t>
  </si>
  <si>
    <t>Food Cost %</t>
  </si>
  <si>
    <t>Food Cost Target %</t>
  </si>
  <si>
    <t>Food Cost Variance (pp)</t>
  </si>
  <si>
    <t>Stock Variance (RM)</t>
  </si>
  <si>
    <t>Stock Variance %</t>
  </si>
  <si>
    <t>Wastage %</t>
  </si>
  <si>
    <t>Avg Transaction Value (RM)</t>
  </si>
  <si>
    <t>Purpose</t>
  </si>
  <si>
    <t>Use this workbook to practise a multi-outlet F&amp;B performance dashboard for an interview.</t>
  </si>
  <si>
    <t>Important</t>
  </si>
  <si>
    <t>All values are fictional practice data, not actual Tiga Budak Gemok data.</t>
  </si>
  <si>
    <t>RawData</t>
  </si>
  <si>
    <t>One row represents one outlet in one month. Convert/add data here.</t>
  </si>
  <si>
    <t>Calculations</t>
  </si>
  <si>
    <t>Contains example formulas for sales variance, COGS/stock usage, food cost %, stock variance, wastage % and average transaction value.</t>
  </si>
  <si>
    <t>COGS / Stock Usage</t>
  </si>
  <si>
    <t>Opening Stock + Purchases + Transfer In − Transfer Out − Closing Stock. Make sure transfers and adjustments are recorded consistently.</t>
  </si>
  <si>
    <t>Stock Variance</t>
  </si>
  <si>
    <t>Physical Stock Value − System Stock Value. Positive means physical stock is higher under this convention; negative means physical stock is lower.</t>
  </si>
  <si>
    <t>COGS / Actual Sales. Format as Percentage.</t>
  </si>
  <si>
    <t>Food Cost Variance</t>
  </si>
  <si>
    <t>Actual Food Cost % − Target Food Cost %. A positive result means actual food cost is above target.</t>
  </si>
  <si>
    <t>Sales Variance</t>
  </si>
  <si>
    <t>Actual Sales − Budget Sales. A negative result means sales are below budget.</t>
  </si>
  <si>
    <t>Wastage Cost / Actual Sales. This is a simple practice metric; a business may define its own denominator.</t>
  </si>
  <si>
    <t>Dashboard build</t>
  </si>
  <si>
    <t>Create PivotTables from RawData or Calculations, then PivotCharts and slicers for Month, Outlet, Region and Outlet Type.</t>
  </si>
  <si>
    <t>Slicers</t>
  </si>
  <si>
    <t>Insert → Slicer, then use Report Connections to connect slicers to relevant PivotTables.</t>
  </si>
  <si>
    <t>Excel note</t>
  </si>
  <si>
    <t>If formulas do not calculate immediately, set Formulas → Calculation Options → Automatic, then recalculate.</t>
  </si>
  <si>
    <t xml:space="preserve">Total Sales </t>
  </si>
  <si>
    <t xml:space="preserve">Total Purchases </t>
  </si>
  <si>
    <t>Total Food Cost</t>
  </si>
  <si>
    <t xml:space="preserve"> Stock Variance </t>
  </si>
  <si>
    <t xml:space="preserve"> Wastage </t>
  </si>
  <si>
    <t>Total Transactions</t>
  </si>
  <si>
    <t>Jan</t>
  </si>
  <si>
    <t>Feb</t>
  </si>
  <si>
    <t>Mar</t>
  </si>
  <si>
    <t xml:space="preserve">Total Sales  </t>
  </si>
  <si>
    <t xml:space="preserve"> Food Cost %</t>
  </si>
  <si>
    <t xml:space="preserve">Total Sales    </t>
  </si>
  <si>
    <t xml:space="preserve">Total Sales        </t>
  </si>
  <si>
    <t>Food Cost</t>
  </si>
  <si>
    <t>Variance</t>
  </si>
  <si>
    <t xml:space="preserve">Sales </t>
  </si>
  <si>
    <t xml:space="preserve">Food Cost Variance </t>
  </si>
  <si>
    <t>Target</t>
  </si>
  <si>
    <t xml:space="preserve"> Food Cost Target %</t>
  </si>
  <si>
    <t>Top &amp; Bottom Performers</t>
  </si>
  <si>
    <t>Expected Sales (RM)</t>
  </si>
  <si>
    <t xml:space="preserve"> Expected Sales </t>
  </si>
  <si>
    <t xml:space="preserve">Sales Variance </t>
  </si>
  <si>
    <t>Actual</t>
  </si>
  <si>
    <t xml:space="preserve"> Sales    </t>
  </si>
  <si>
    <t xml:space="preserve"> Purchases </t>
  </si>
  <si>
    <t xml:space="preserve"> Usage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</si>
</sst>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Red]\-0.0%"/>
    <numFmt numFmtId="165" formatCode="&quot;RM&quot;\ #,##0.00;[Red]\-&quot;RM&quot;\ #,##0.00"/>
    <numFmt numFmtId="166" formatCode="&quot;RM&quot;#,##0.00"/>
    <numFmt numFmtId="167" formatCode="mmm\ yyyy"/>
    <numFmt numFmtId="168" formatCode="&quot;RM&quot;\ #,##0;[Red]\-&quot;RM&quot;\ #,##0"/>
    <numFmt numFmtId="169" formatCode="0.0%"/>
    <numFmt numFmtId="170" formatCode="&quot;RM&quot;#,##0"/>
  </numFmts>
  <fonts count="14" x14ac:knownFonts="1">
    <font>
      <sz val="11"/>
      <color theme="1"/>
      <name val="Calibri"/>
      <family val="2"/>
      <scheme val="minor"/>
    </font>
    <font>
      <b/>
      <sz val="11"/>
      <color rgb="FFFFFFFF"/>
      <name val="Calibri"/>
    </font>
    <font>
      <sz val="11"/>
      <color theme="1"/>
      <name val="Calibri"/>
      <family val="2"/>
      <scheme val="minor"/>
    </font>
    <font>
      <b/>
      <sz val="11"/>
      <color rgb="FFFFFFFF"/>
      <name val="Calibri"/>
      <family val="2"/>
    </font>
    <font>
      <sz val="11"/>
      <color rgb="FF1E5C3D"/>
      <name val="Calibri"/>
      <family val="2"/>
      <scheme val="minor"/>
    </font>
    <font>
      <sz val="8"/>
      <name val="Calibri"/>
      <family val="2"/>
      <scheme val="minor"/>
    </font>
    <font>
      <b/>
      <sz val="11"/>
      <color rgb="FF1E5C3D"/>
      <name val="Times New Roman"/>
      <family val="1"/>
    </font>
    <font>
      <b/>
      <sz val="12"/>
      <color theme="6" tint="-0.499984740745262"/>
      <name val="Times New Roman"/>
      <family val="1"/>
    </font>
    <font>
      <sz val="10"/>
      <color theme="6" tint="-0.499984740745262"/>
      <name val="Times New Roman"/>
      <family val="1"/>
    </font>
    <font>
      <b/>
      <sz val="10"/>
      <color theme="6" tint="-0.499984740745262"/>
      <name val="Times New Roman"/>
      <family val="1"/>
    </font>
    <font>
      <b/>
      <sz val="10"/>
      <color theme="0"/>
      <name val="Times New Roman"/>
      <family val="1"/>
    </font>
    <font>
      <b/>
      <sz val="9"/>
      <color theme="0"/>
      <name val="Times New Roman"/>
      <family val="1"/>
    </font>
    <font>
      <b/>
      <sz val="12"/>
      <color rgb="FFC00000"/>
      <name val="Times New Roman"/>
      <family val="1"/>
    </font>
    <font>
      <b/>
      <sz val="10"/>
      <color rgb="FFC00000"/>
      <name val="Times New Roman"/>
      <family val="1"/>
    </font>
  </fonts>
  <fills count="10">
    <fill>
      <patternFill patternType="none"/>
    </fill>
    <fill>
      <patternFill patternType="gray125"/>
    </fill>
    <fill>
      <patternFill patternType="solid">
        <fgColor rgb="FF176B5B"/>
      </patternFill>
    </fill>
    <fill>
      <patternFill patternType="solid">
        <fgColor rgb="FFF3F8F6"/>
      </patternFill>
    </fill>
    <fill>
      <patternFill patternType="solid">
        <fgColor rgb="FFFFFFFF"/>
      </patternFill>
    </fill>
    <fill>
      <patternFill patternType="solid">
        <fgColor theme="6" tint="-0.499984740745262"/>
        <bgColor indexed="64"/>
      </patternFill>
    </fill>
    <fill>
      <patternFill patternType="solid">
        <fgColor theme="0" tint="-4.9989318521683403E-2"/>
        <bgColor indexed="64"/>
      </patternFill>
    </fill>
    <fill>
      <patternFill patternType="solid">
        <fgColor rgb="FF2C7251"/>
        <bgColor indexed="64"/>
      </patternFill>
    </fill>
    <fill>
      <patternFill patternType="solid">
        <fgColor theme="5" tint="0.59999389629810485"/>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42">
    <xf numFmtId="0" fontId="0" fillId="0" borderId="0" xfId="0"/>
    <xf numFmtId="0" fontId="1" fillId="2" borderId="0" xfId="0" applyFont="1" applyFill="1" applyAlignment="1">
      <alignment horizontal="center" vertical="center" wrapText="1"/>
    </xf>
    <xf numFmtId="40" fontId="0" fillId="0" borderId="0" xfId="0" applyNumberFormat="1"/>
    <xf numFmtId="164" fontId="0" fillId="0" borderId="0" xfId="0" applyNumberFormat="1"/>
    <xf numFmtId="0" fontId="1" fillId="2" borderId="0" xfId="0" applyFont="1"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166" fontId="0" fillId="0" borderId="0" xfId="0" applyNumberFormat="1"/>
    <xf numFmtId="167" fontId="0" fillId="0" borderId="0" xfId="0" applyNumberFormat="1"/>
    <xf numFmtId="0" fontId="4" fillId="5" borderId="0" xfId="0" applyFont="1" applyFill="1"/>
    <xf numFmtId="0" fontId="0" fillId="6" borderId="0" xfId="0" applyFill="1"/>
    <xf numFmtId="0" fontId="0" fillId="5" borderId="0" xfId="0" applyFill="1"/>
    <xf numFmtId="0" fontId="0" fillId="0" borderId="0" xfId="0" pivotButton="1"/>
    <xf numFmtId="0" fontId="3" fillId="2" borderId="0" xfId="0" applyFont="1" applyFill="1" applyAlignment="1">
      <alignment horizontal="center" vertical="center" wrapText="1"/>
    </xf>
    <xf numFmtId="168" fontId="0" fillId="0" borderId="0" xfId="0" applyNumberFormat="1"/>
    <xf numFmtId="0" fontId="0" fillId="0" borderId="0" xfId="0" applyAlignment="1">
      <alignment horizontal="left"/>
    </xf>
    <xf numFmtId="169" fontId="0" fillId="0" borderId="0" xfId="0" applyNumberFormat="1"/>
    <xf numFmtId="170" fontId="0" fillId="0" borderId="0" xfId="0" applyNumberFormat="1"/>
    <xf numFmtId="10" fontId="0" fillId="0" borderId="0" xfId="0" applyNumberFormat="1"/>
    <xf numFmtId="0" fontId="6" fillId="0" borderId="0" xfId="0" applyFont="1" applyAlignment="1">
      <alignment vertical="top"/>
    </xf>
    <xf numFmtId="170" fontId="8" fillId="0" borderId="0" xfId="0" applyNumberFormat="1" applyFont="1" applyAlignment="1">
      <alignment horizontal="center"/>
    </xf>
    <xf numFmtId="9" fontId="8" fillId="0" borderId="0" xfId="0" applyNumberFormat="1" applyFont="1" applyAlignment="1">
      <alignment horizontal="center"/>
    </xf>
    <xf numFmtId="0" fontId="9" fillId="0" borderId="0" xfId="0" applyFont="1" applyAlignment="1">
      <alignment horizontal="center"/>
    </xf>
    <xf numFmtId="10" fontId="8" fillId="0" borderId="0" xfId="0" applyNumberFormat="1" applyFont="1" applyAlignment="1">
      <alignment horizontal="center"/>
    </xf>
    <xf numFmtId="0" fontId="7" fillId="0" borderId="0" xfId="0" applyFont="1" applyAlignment="1">
      <alignment vertical="top"/>
    </xf>
    <xf numFmtId="0" fontId="12" fillId="0" borderId="0" xfId="0" applyFont="1" applyAlignment="1">
      <alignment vertical="top"/>
    </xf>
    <xf numFmtId="0" fontId="10" fillId="7" borderId="0" xfId="0" applyFont="1" applyFill="1" applyAlignment="1">
      <alignment horizontal="center"/>
    </xf>
    <xf numFmtId="0" fontId="10" fillId="5" borderId="0" xfId="0" applyFont="1" applyFill="1" applyAlignment="1">
      <alignment horizontal="center"/>
    </xf>
    <xf numFmtId="0" fontId="10" fillId="5" borderId="0" xfId="0" applyFont="1" applyFill="1"/>
    <xf numFmtId="170" fontId="8" fillId="0" borderId="0" xfId="1" applyNumberFormat="1" applyFont="1" applyFill="1" applyBorder="1" applyAlignment="1">
      <alignment horizontal="center"/>
    </xf>
    <xf numFmtId="0" fontId="4" fillId="5" borderId="0" xfId="0" applyFont="1" applyFill="1" applyProtection="1">
      <protection locked="0"/>
    </xf>
    <xf numFmtId="0" fontId="11" fillId="7" borderId="0" xfId="0" applyFont="1" applyFill="1" applyAlignment="1">
      <alignment horizontal="center"/>
    </xf>
    <xf numFmtId="0" fontId="9" fillId="8" borderId="0" xfId="0" applyFont="1" applyFill="1" applyAlignment="1">
      <alignment horizontal="center"/>
    </xf>
    <xf numFmtId="170" fontId="8" fillId="8" borderId="0" xfId="1" applyNumberFormat="1" applyFont="1" applyFill="1" applyBorder="1" applyAlignment="1">
      <alignment horizontal="center"/>
    </xf>
    <xf numFmtId="170" fontId="13" fillId="8" borderId="0" xfId="1" applyNumberFormat="1" applyFont="1" applyFill="1" applyBorder="1" applyAlignment="1">
      <alignment horizontal="center"/>
    </xf>
    <xf numFmtId="0" fontId="7" fillId="0" borderId="0" xfId="0" applyFont="1" applyAlignment="1">
      <alignment horizontal="center" vertical="top"/>
    </xf>
    <xf numFmtId="0" fontId="7" fillId="0" borderId="0" xfId="0" applyFont="1" applyAlignment="1">
      <alignment horizontal="center" vertical="center"/>
    </xf>
    <xf numFmtId="0" fontId="9" fillId="9" borderId="0" xfId="0" applyFont="1" applyFill="1" applyAlignment="1">
      <alignment horizontal="center"/>
    </xf>
    <xf numFmtId="170" fontId="8" fillId="9" borderId="0" xfId="0" applyNumberFormat="1" applyFont="1" applyFill="1" applyAlignment="1">
      <alignment horizontal="center"/>
    </xf>
    <xf numFmtId="10" fontId="8" fillId="9" borderId="0" xfId="0" applyNumberFormat="1" applyFont="1" applyFill="1" applyAlignment="1">
      <alignment horizontal="center"/>
    </xf>
    <xf numFmtId="9" fontId="8" fillId="9" borderId="0" xfId="0" applyNumberFormat="1" applyFont="1" applyFill="1" applyAlignment="1">
      <alignment horizontal="center"/>
    </xf>
    <xf numFmtId="10" fontId="13" fillId="9" borderId="0" xfId="0" applyNumberFormat="1" applyFont="1" applyFill="1" applyAlignment="1">
      <alignment horizontal="center"/>
    </xf>
  </cellXfs>
  <cellStyles count="2">
    <cellStyle name="Comma" xfId="1" builtinId="3"/>
    <cellStyle name="Normal" xfId="0" builtinId="0"/>
  </cellStyles>
  <dxfs count="32">
    <dxf>
      <font>
        <color rgb="FFC00000"/>
      </font>
    </dxf>
    <dxf>
      <font>
        <color rgb="FF00B050"/>
      </font>
    </dxf>
    <dxf>
      <numFmt numFmtId="170" formatCode="&quot;RM&quot;#,##0"/>
    </dxf>
    <dxf>
      <numFmt numFmtId="170" formatCode="&quot;RM&quot;#,##0"/>
    </dxf>
    <dxf>
      <numFmt numFmtId="168" formatCode="&quot;RM&quot;\ #,##0;[Red]\-&quot;RM&quot;\ #,##0"/>
    </dxf>
    <dxf>
      <numFmt numFmtId="168" formatCode="&quot;RM&quot;\ #,##0;[Red]\-&quot;RM&quot;\ #,##0"/>
    </dxf>
    <dxf>
      <numFmt numFmtId="168" formatCode="&quot;RM&quot;\ #,##0;[Red]\-&quot;RM&quot;\ #,##0"/>
    </dxf>
    <dxf>
      <numFmt numFmtId="14" formatCode="0.00%"/>
    </dxf>
    <dxf>
      <numFmt numFmtId="170" formatCode="&quot;RM&quot;#,##0"/>
    </dxf>
    <dxf>
      <numFmt numFmtId="170" formatCode="&quot;RM&quot;#,##0"/>
    </dxf>
    <dxf>
      <numFmt numFmtId="170" formatCode="&quot;RM&quot;#,##0"/>
    </dxf>
    <dxf>
      <numFmt numFmtId="169" formatCode="0.0%"/>
    </dxf>
    <dxf>
      <numFmt numFmtId="14" formatCode="0.00%"/>
    </dxf>
    <dxf>
      <numFmt numFmtId="168" formatCode="&quot;RM&quot;\ #,##0;[Red]\-&quot;RM&quot;\ #,##0"/>
    </dxf>
    <dxf>
      <font>
        <color rgb="FFC00000"/>
      </font>
    </dxf>
    <dxf>
      <numFmt numFmtId="166" formatCode="&quot;RM&quot;#,##0.00"/>
    </dxf>
    <dxf>
      <numFmt numFmtId="168" formatCode="&quot;RM&quot;\ #,##0;[Red]\-&quot;RM&quot;\ #,##0"/>
    </dxf>
    <dxf>
      <numFmt numFmtId="168" formatCode="&quot;RM&quot;\ #,##0;[Red]\-&quot;RM&quot;\ #,##0"/>
    </dxf>
    <dxf>
      <numFmt numFmtId="169" formatCode="0.0%"/>
    </dxf>
    <dxf>
      <numFmt numFmtId="168" formatCode="&quot;RM&quot;\ #,##0;[Red]\-&quot;RM&quot;\ #,##0"/>
    </dxf>
    <dxf>
      <numFmt numFmtId="168" formatCode="&quot;RM&quot;\ #,##0;[Red]\-&quot;RM&quot;\ #,##0"/>
    </dxf>
    <dxf>
      <numFmt numFmtId="168" formatCode="&quot;RM&quot;\ #,##0;[Red]\-&quot;RM&quot;\ #,##0"/>
    </dxf>
    <dxf>
      <numFmt numFmtId="168" formatCode="&quot;RM&quot;\ #,##0;[Red]\-&quot;RM&quot;\ #,##0"/>
    </dxf>
    <dxf>
      <numFmt numFmtId="168" formatCode="&quot;RM&quot;\ #,##0;[Red]\-&quot;RM&quot;\ #,##0"/>
    </dxf>
    <dxf>
      <numFmt numFmtId="168" formatCode="&quot;RM&quot;\ #,##0;[Red]\-&quot;RM&quot;\ #,##0"/>
    </dxf>
    <dxf>
      <numFmt numFmtId="167" formatCode="mmm\ yyyy"/>
    </dxf>
    <dxf>
      <font>
        <b/>
        <i val="0"/>
        <strike val="0"/>
        <color theme="6" tint="-0.499984740745262"/>
      </font>
      <border>
        <bottom style="thin">
          <color theme="6"/>
        </bottom>
        <vertical/>
        <horizontal/>
      </border>
    </dxf>
    <dxf>
      <font>
        <sz val="10"/>
        <color theme="1"/>
        <name val="Times New Roman"/>
        <family val="1"/>
        <scheme val="none"/>
      </font>
      <border diagonalUp="0" diagonalDown="0">
        <left/>
        <right/>
        <top/>
        <bottom/>
        <vertical/>
        <horizontal/>
      </border>
    </dxf>
    <dxf>
      <font>
        <name val="Times New Roman"/>
        <family val="1"/>
        <scheme val="none"/>
      </font>
    </dxf>
    <dxf>
      <font>
        <name val="Times New Roman"/>
        <family val="1"/>
        <scheme val="none"/>
      </font>
      <border diagonalUp="0" diagonalDown="0">
        <left/>
        <right/>
        <top/>
        <bottom/>
        <vertical/>
        <horizontal/>
      </border>
    </dxf>
    <dxf>
      <fill>
        <patternFill patternType="solid">
          <fgColor auto="1"/>
          <bgColor theme="6" tint="-0.499984740745262"/>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6" defaultTableStyle="TableStyleMedium2" defaultPivotStyle="PivotStyleLight16">
    <tableStyle name="Slicer Style 1" pivot="0" table="0" count="1" xr9:uid="{0B54E636-50D7-48E1-807B-492A4BD2364B}">
      <tableStyleElement type="wholeTable" dxfId="31"/>
    </tableStyle>
    <tableStyle name="Slicer Style 2" pivot="0" table="0" count="1" xr9:uid="{22D6820F-23DD-48FE-8FF2-9603C06DF91A}">
      <tableStyleElement type="wholeTable" dxfId="30"/>
    </tableStyle>
    <tableStyle name="Slicer Style 3" pivot="0" table="0" count="1" xr9:uid="{E4DF316D-7989-42D7-97D9-8B438EF00C04}"/>
    <tableStyle name="Slicer Style 4" pivot="0" table="0" count="1" xr9:uid="{2BED0F41-EDD2-4635-8D97-AE7927ACC1AD}">
      <tableStyleElement type="wholeTable" dxfId="29"/>
    </tableStyle>
    <tableStyle name="Slicer Style 5" pivot="0" table="0" count="4" xr9:uid="{B3BE9585-8FEF-489F-A273-9B98FFA29FB5}">
      <tableStyleElement type="wholeTable" dxfId="28"/>
    </tableStyle>
    <tableStyle name="SlicerStyleLight3 2" pivot="0" table="0" count="10" xr9:uid="{A9F5D779-19C8-490C-9CC1-9D72793D8749}">
      <tableStyleElement type="wholeTable" dxfId="27"/>
      <tableStyleElement type="headerRow" dxfId="26"/>
    </tableStyle>
  </tableStyles>
  <colors>
    <mruColors>
      <color rgb="FF2C7251"/>
      <color rgb="FFC89800"/>
      <color rgb="FF588824"/>
      <color rgb="FF74B230"/>
      <color rgb="FFFFE07D"/>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6"/>
            </patternFill>
          </fill>
        </dxf>
        <dxf>
          <fill>
            <patternFill>
              <bgColor theme="6"/>
            </patternFill>
          </fill>
        </dxf>
        <dxf>
          <fill>
            <patternFill>
              <bgColor theme="6"/>
            </patternFill>
          </fill>
        </dxf>
        <dxf>
          <font>
            <name val="Times New Roman"/>
            <family val="1"/>
            <scheme val="none"/>
          </font>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11"/>
          </x14:slicerStyleElements>
        </x14:slicerStyle>
        <x14:slicerStyle name="Slicer Style 4"/>
        <x14:slicerStyle name="Slicer Style 5">
          <x14:slicerStyleElements>
            <x14:slicerStyleElement type="unselectedItemWithData" dxfId="10"/>
            <x14:slicerStyleElement type="unselectedItemWithNoData" dxfId="9"/>
            <x14:slicerStyleElement type="selectedItemWith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 OUTLET SALES PERFORMANCE DASHBOARD-(NUR FARISHA).xlsx]Pivot Table!PivotTable21</c:name>
    <c:fmtId val="3"/>
  </c:pivotSource>
  <c:chart>
    <c:title>
      <c:tx>
        <c:rich>
          <a:bodyPr rot="0" spcFirstLastPara="1" vertOverflow="ellipsis" vert="horz" wrap="square" anchor="ctr" anchorCtr="1"/>
          <a:lstStyle/>
          <a:p>
            <a:pPr>
              <a:defRPr sz="1100" b="1" i="0" u="none" strike="noStrike" kern="1200" spc="0" baseline="0">
                <a:solidFill>
                  <a:schemeClr val="accent3">
                    <a:lumMod val="50000"/>
                  </a:schemeClr>
                </a:solidFill>
                <a:latin typeface="Times New Roman" panose="02020603050405020304" pitchFamily="18" charset="0"/>
                <a:ea typeface="+mn-ea"/>
                <a:cs typeface="Times New Roman" panose="02020603050405020304" pitchFamily="18" charset="0"/>
              </a:defRPr>
            </a:pPr>
            <a:r>
              <a:rPr lang="en-MY" sz="1100" b="1">
                <a:solidFill>
                  <a:schemeClr val="accent3">
                    <a:lumMod val="50000"/>
                  </a:schemeClr>
                </a:solidFill>
                <a:latin typeface="Times New Roman" panose="02020603050405020304" pitchFamily="18" charset="0"/>
                <a:cs typeface="Times New Roman" panose="02020603050405020304" pitchFamily="18" charset="0"/>
              </a:rPr>
              <a:t>Sales</a:t>
            </a:r>
            <a:r>
              <a:rPr lang="en-MY" sz="1100" b="1" baseline="0">
                <a:solidFill>
                  <a:schemeClr val="accent3">
                    <a:lumMod val="50000"/>
                  </a:schemeClr>
                </a:solidFill>
                <a:latin typeface="Times New Roman" panose="02020603050405020304" pitchFamily="18" charset="0"/>
                <a:cs typeface="Times New Roman" panose="02020603050405020304" pitchFamily="18" charset="0"/>
              </a:rPr>
              <a:t> By Outlet</a:t>
            </a:r>
            <a:endParaRPr lang="en-MY" sz="1100" b="1">
              <a:solidFill>
                <a:schemeClr val="accent3">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5.0668808539400825E-2"/>
          <c:y val="4.1666666666666664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MY"/>
        </a:p>
      </c:txPr>
    </c:title>
    <c:autoTitleDeleted val="0"/>
    <c:pivotFmts>
      <c:pivotFmt>
        <c:idx val="0"/>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C72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noFill/>
          </a:ln>
          <a:effectLst/>
        </c:spPr>
      </c:pivotFmt>
      <c:pivotFmt>
        <c:idx val="11"/>
        <c:spPr>
          <a:solidFill>
            <a:srgbClr val="2C7251"/>
          </a:solidFill>
          <a:ln>
            <a:noFill/>
          </a:ln>
          <a:effectLst/>
        </c:spPr>
      </c:pivotFmt>
      <c:pivotFmt>
        <c:idx val="12"/>
        <c:spPr>
          <a:solidFill>
            <a:srgbClr val="2C7251"/>
          </a:solidFill>
          <a:ln>
            <a:noFill/>
          </a:ln>
          <a:effectLst/>
        </c:spPr>
      </c:pivotFmt>
      <c:pivotFmt>
        <c:idx val="13"/>
        <c:spPr>
          <a:solidFill>
            <a:srgbClr val="2C7251"/>
          </a:solidFill>
          <a:ln>
            <a:noFill/>
          </a:ln>
          <a:effectLst/>
        </c:spPr>
      </c:pivotFmt>
      <c:pivotFmt>
        <c:idx val="14"/>
        <c:spPr>
          <a:solidFill>
            <a:srgbClr val="2C7251"/>
          </a:solidFill>
          <a:ln>
            <a:noFill/>
          </a:ln>
          <a:effectLst/>
        </c:spPr>
      </c:pivotFmt>
      <c:pivotFmt>
        <c:idx val="15"/>
        <c:spPr>
          <a:solidFill>
            <a:srgbClr val="2C7251"/>
          </a:solidFill>
          <a:ln>
            <a:noFill/>
          </a:ln>
          <a:effectLst/>
        </c:spPr>
      </c:pivotFmt>
      <c:pivotFmt>
        <c:idx val="16"/>
        <c:spPr>
          <a:solidFill>
            <a:schemeClr val="accent3">
              <a:lumMod val="75000"/>
            </a:schemeClr>
          </a:solidFill>
          <a:ln>
            <a:noFill/>
          </a:ln>
          <a:effectLst/>
        </c:spPr>
      </c:pivotFmt>
      <c:pivotFmt>
        <c:idx val="17"/>
        <c:spPr>
          <a:solidFill>
            <a:schemeClr val="accent3">
              <a:lumMod val="75000"/>
            </a:schemeClr>
          </a:solidFill>
          <a:ln>
            <a:noFill/>
          </a:ln>
          <a:effectLst/>
        </c:spPr>
      </c:pivotFmt>
      <c:pivotFmt>
        <c:idx val="18"/>
        <c:spPr>
          <a:solidFill>
            <a:schemeClr val="accent3">
              <a:lumMod val="75000"/>
            </a:schemeClr>
          </a:solidFill>
          <a:ln>
            <a:noFill/>
          </a:ln>
          <a:effectLst/>
        </c:spPr>
      </c:pivotFmt>
      <c:pivotFmt>
        <c:idx val="19"/>
        <c:spPr>
          <a:solidFill>
            <a:schemeClr val="accent3">
              <a:lumMod val="75000"/>
            </a:schemeClr>
          </a:solidFill>
          <a:ln>
            <a:noFill/>
          </a:ln>
          <a:effectLst/>
        </c:spPr>
      </c:pivotFmt>
      <c:pivotFmt>
        <c:idx val="20"/>
        <c:spPr>
          <a:solidFill>
            <a:schemeClr val="accent3">
              <a:lumMod val="75000"/>
            </a:schemeClr>
          </a:solidFill>
          <a:ln>
            <a:noFill/>
          </a:ln>
          <a:effectLst/>
        </c:spPr>
      </c:pivotFmt>
      <c:pivotFmt>
        <c:idx val="21"/>
        <c:spPr>
          <a:solidFill>
            <a:schemeClr val="accent3">
              <a:lumMod val="50000"/>
            </a:schemeClr>
          </a:solidFill>
          <a:ln>
            <a:noFill/>
          </a:ln>
          <a:effectLst/>
        </c:spPr>
      </c:pivotFmt>
      <c:pivotFmt>
        <c:idx val="22"/>
        <c:spPr>
          <a:solidFill>
            <a:schemeClr val="accent3">
              <a:lumMod val="50000"/>
            </a:schemeClr>
          </a:solidFill>
          <a:ln>
            <a:noFill/>
          </a:ln>
          <a:effectLst/>
        </c:spPr>
      </c:pivotFmt>
      <c:pivotFmt>
        <c:idx val="23"/>
        <c:spPr>
          <a:solidFill>
            <a:schemeClr val="accent3">
              <a:lumMod val="50000"/>
            </a:schemeClr>
          </a:solidFill>
          <a:ln>
            <a:noFill/>
          </a:ln>
          <a:effectLst/>
        </c:spPr>
      </c:pivotFmt>
      <c:pivotFmt>
        <c:idx val="24"/>
        <c:spPr>
          <a:solidFill>
            <a:schemeClr val="accent3">
              <a:lumMod val="50000"/>
            </a:schemeClr>
          </a:solidFill>
          <a:ln>
            <a:noFill/>
          </a:ln>
          <a:effectLst/>
        </c:spPr>
      </c:pivotFmt>
      <c:pivotFmt>
        <c:idx val="25"/>
        <c:spPr>
          <a:solidFill>
            <a:schemeClr val="accent3">
              <a:lumMod val="50000"/>
            </a:schemeClr>
          </a:solidFill>
          <a:ln>
            <a:noFill/>
          </a:ln>
          <a:effectLst/>
        </c:spPr>
      </c:pivotFmt>
    </c:pivotFmts>
    <c:plotArea>
      <c:layout/>
      <c:barChart>
        <c:barDir val="col"/>
        <c:grouping val="clustered"/>
        <c:varyColors val="0"/>
        <c:ser>
          <c:idx val="0"/>
          <c:order val="0"/>
          <c:tx>
            <c:strRef>
              <c:f>'Pivot Table'!$B$22:$B$23</c:f>
              <c:strCache>
                <c:ptCount val="1"/>
                <c:pt idx="0">
                  <c:v>Jan</c:v>
                </c:pt>
              </c:strCache>
            </c:strRef>
          </c:tx>
          <c:spPr>
            <a:solidFill>
              <a:srgbClr val="2C7251"/>
            </a:solidFill>
            <a:ln>
              <a:noFill/>
            </a:ln>
            <a:effectLst/>
          </c:spPr>
          <c:invertIfNegative val="0"/>
          <c:cat>
            <c:strRef>
              <c:f>'Pivot Table'!$A$24:$A$28</c:f>
              <c:strCache>
                <c:ptCount val="5"/>
                <c:pt idx="0">
                  <c:v>Outlet A</c:v>
                </c:pt>
                <c:pt idx="1">
                  <c:v>Outlet B</c:v>
                </c:pt>
                <c:pt idx="2">
                  <c:v>Outlet C</c:v>
                </c:pt>
                <c:pt idx="3">
                  <c:v>Outlet D</c:v>
                </c:pt>
                <c:pt idx="4">
                  <c:v>Outlet E</c:v>
                </c:pt>
              </c:strCache>
            </c:strRef>
          </c:cat>
          <c:val>
            <c:numRef>
              <c:f>'Pivot Table'!$B$24:$B$28</c:f>
              <c:numCache>
                <c:formatCode>"RM"\ #,##0;[Red]\-"RM"\ #,##0</c:formatCode>
                <c:ptCount val="5"/>
                <c:pt idx="0">
                  <c:v>152000</c:v>
                </c:pt>
                <c:pt idx="1">
                  <c:v>158000</c:v>
                </c:pt>
                <c:pt idx="2">
                  <c:v>189550</c:v>
                </c:pt>
                <c:pt idx="3">
                  <c:v>162350</c:v>
                </c:pt>
                <c:pt idx="4">
                  <c:v>172300</c:v>
                </c:pt>
              </c:numCache>
            </c:numRef>
          </c:val>
          <c:extLst>
            <c:ext xmlns:c16="http://schemas.microsoft.com/office/drawing/2014/chart" uri="{C3380CC4-5D6E-409C-BE32-E72D297353CC}">
              <c16:uniqueId val="{00000000-8BB6-4842-B6E8-5808B17254D4}"/>
            </c:ext>
          </c:extLst>
        </c:ser>
        <c:ser>
          <c:idx val="1"/>
          <c:order val="1"/>
          <c:tx>
            <c:strRef>
              <c:f>'Pivot Table'!$C$22:$C$23</c:f>
              <c:strCache>
                <c:ptCount val="1"/>
                <c:pt idx="0">
                  <c:v>Feb</c:v>
                </c:pt>
              </c:strCache>
            </c:strRef>
          </c:tx>
          <c:spPr>
            <a:solidFill>
              <a:schemeClr val="accent3">
                <a:lumMod val="75000"/>
              </a:schemeClr>
            </a:solidFill>
            <a:ln>
              <a:noFill/>
            </a:ln>
            <a:effectLst/>
          </c:spPr>
          <c:invertIfNegative val="0"/>
          <c:cat>
            <c:strRef>
              <c:f>'Pivot Table'!$A$24:$A$28</c:f>
              <c:strCache>
                <c:ptCount val="5"/>
                <c:pt idx="0">
                  <c:v>Outlet A</c:v>
                </c:pt>
                <c:pt idx="1">
                  <c:v>Outlet B</c:v>
                </c:pt>
                <c:pt idx="2">
                  <c:v>Outlet C</c:v>
                </c:pt>
                <c:pt idx="3">
                  <c:v>Outlet D</c:v>
                </c:pt>
                <c:pt idx="4">
                  <c:v>Outlet E</c:v>
                </c:pt>
              </c:strCache>
            </c:strRef>
          </c:cat>
          <c:val>
            <c:numRef>
              <c:f>'Pivot Table'!$C$24:$C$28</c:f>
              <c:numCache>
                <c:formatCode>"RM"\ #,##0;[Red]\-"RM"\ #,##0</c:formatCode>
                <c:ptCount val="5"/>
                <c:pt idx="0">
                  <c:v>160420</c:v>
                </c:pt>
                <c:pt idx="1">
                  <c:v>160420</c:v>
                </c:pt>
                <c:pt idx="2">
                  <c:v>201760</c:v>
                </c:pt>
                <c:pt idx="3">
                  <c:v>170820</c:v>
                </c:pt>
                <c:pt idx="4">
                  <c:v>186540</c:v>
                </c:pt>
              </c:numCache>
            </c:numRef>
          </c:val>
          <c:extLst>
            <c:ext xmlns:c16="http://schemas.microsoft.com/office/drawing/2014/chart" uri="{C3380CC4-5D6E-409C-BE32-E72D297353CC}">
              <c16:uniqueId val="{00000003-6920-48A8-BDDB-D07D2F75C167}"/>
            </c:ext>
          </c:extLst>
        </c:ser>
        <c:ser>
          <c:idx val="2"/>
          <c:order val="2"/>
          <c:tx>
            <c:strRef>
              <c:f>'Pivot Table'!$D$22:$D$23</c:f>
              <c:strCache>
                <c:ptCount val="1"/>
                <c:pt idx="0">
                  <c:v>Mar</c:v>
                </c:pt>
              </c:strCache>
            </c:strRef>
          </c:tx>
          <c:spPr>
            <a:solidFill>
              <a:schemeClr val="accent3">
                <a:lumMod val="50000"/>
              </a:schemeClr>
            </a:solidFill>
            <a:ln>
              <a:noFill/>
            </a:ln>
            <a:effectLst/>
          </c:spPr>
          <c:invertIfNegative val="0"/>
          <c:cat>
            <c:strRef>
              <c:f>'Pivot Table'!$A$24:$A$28</c:f>
              <c:strCache>
                <c:ptCount val="5"/>
                <c:pt idx="0">
                  <c:v>Outlet A</c:v>
                </c:pt>
                <c:pt idx="1">
                  <c:v>Outlet B</c:v>
                </c:pt>
                <c:pt idx="2">
                  <c:v>Outlet C</c:v>
                </c:pt>
                <c:pt idx="3">
                  <c:v>Outlet D</c:v>
                </c:pt>
                <c:pt idx="4">
                  <c:v>Outlet E</c:v>
                </c:pt>
              </c:strCache>
            </c:strRef>
          </c:cat>
          <c:val>
            <c:numRef>
              <c:f>'Pivot Table'!$D$24:$D$28</c:f>
              <c:numCache>
                <c:formatCode>"RM"\ #,##0;[Red]\-"RM"\ #,##0</c:formatCode>
                <c:ptCount val="5"/>
                <c:pt idx="0">
                  <c:v>180450</c:v>
                </c:pt>
                <c:pt idx="1">
                  <c:v>165230</c:v>
                </c:pt>
                <c:pt idx="2">
                  <c:v>210540</c:v>
                </c:pt>
                <c:pt idx="3">
                  <c:v>186540</c:v>
                </c:pt>
                <c:pt idx="4">
                  <c:v>195460</c:v>
                </c:pt>
              </c:numCache>
            </c:numRef>
          </c:val>
          <c:extLst>
            <c:ext xmlns:c16="http://schemas.microsoft.com/office/drawing/2014/chart" uri="{C3380CC4-5D6E-409C-BE32-E72D297353CC}">
              <c16:uniqueId val="{00000004-6920-48A8-BDDB-D07D2F75C167}"/>
            </c:ext>
          </c:extLst>
        </c:ser>
        <c:dLbls>
          <c:showLegendKey val="0"/>
          <c:showVal val="0"/>
          <c:showCatName val="0"/>
          <c:showSerName val="0"/>
          <c:showPercent val="0"/>
          <c:showBubbleSize val="0"/>
        </c:dLbls>
        <c:gapWidth val="55"/>
        <c:overlap val="-22"/>
        <c:axId val="566403144"/>
        <c:axId val="566403504"/>
      </c:barChart>
      <c:catAx>
        <c:axId val="566403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0"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crossAx val="566403504"/>
        <c:crosses val="autoZero"/>
        <c:auto val="1"/>
        <c:lblAlgn val="ctr"/>
        <c:lblOffset val="100"/>
        <c:noMultiLvlLbl val="0"/>
      </c:catAx>
      <c:valAx>
        <c:axId val="566403504"/>
        <c:scaling>
          <c:orientation val="minMax"/>
          <c:max val="220000"/>
          <c:min val="0"/>
        </c:scaling>
        <c:delete val="0"/>
        <c:axPos val="l"/>
        <c:majorGridlines>
          <c:spPr>
            <a:ln w="9525" cap="flat" cmpd="sng" algn="ctr">
              <a:solidFill>
                <a:schemeClr val="tx1">
                  <a:lumMod val="15000"/>
                  <a:lumOff val="85000"/>
                </a:schemeClr>
              </a:solidFill>
              <a:round/>
            </a:ln>
            <a:effectLst/>
          </c:spPr>
        </c:majorGridlines>
        <c:numFmt formatCode="###,\k" sourceLinked="0"/>
        <c:majorTickMark val="none"/>
        <c:minorTickMark val="none"/>
        <c:tickLblPos val="nextTo"/>
        <c:spPr>
          <a:noFill/>
          <a:ln>
            <a:noFill/>
          </a:ln>
          <a:effectLst/>
        </c:spPr>
        <c:txPr>
          <a:bodyPr rot="-60000000" spcFirstLastPara="1" vertOverflow="ellipsis" vert="horz" wrap="square" anchor="ctr" anchorCtr="1"/>
          <a:lstStyle/>
          <a:p>
            <a:pPr algn="ctr" rtl="0">
              <a:defRPr lang="en-US" sz="900" b="0"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crossAx val="566403144"/>
        <c:crosses val="autoZero"/>
        <c:crossBetween val="between"/>
      </c:valAx>
      <c:spPr>
        <a:noFill/>
        <a:ln>
          <a:noFill/>
        </a:ln>
        <a:effectLst/>
      </c:spPr>
    </c:plotArea>
    <c:legend>
      <c:legendPos val="r"/>
      <c:layout>
        <c:manualLayout>
          <c:xMode val="edge"/>
          <c:yMode val="edge"/>
          <c:x val="0.88955133321255486"/>
          <c:y val="0.26162087617413154"/>
          <c:w val="8.4538463798345995E-2"/>
          <c:h val="0.39615390508879728"/>
        </c:manualLayout>
      </c:layout>
      <c:overlay val="0"/>
      <c:spPr>
        <a:noFill/>
        <a:ln>
          <a:noFill/>
        </a:ln>
        <a:effectLst/>
      </c:spPr>
      <c:txPr>
        <a:bodyPr rot="0" spcFirstLastPara="1" vertOverflow="ellipsis" vert="horz" wrap="square" anchor="ctr" anchorCtr="1"/>
        <a:lstStyle/>
        <a:p>
          <a:pPr algn="ctr" rtl="0">
            <a:defRPr lang="en-US" sz="1000" b="0" i="0" u="none" strike="noStrike" kern="1200" spc="0" baseline="0">
              <a:solidFill>
                <a:sysClr val="windowText" lastClr="000000">
                  <a:lumMod val="65000"/>
                  <a:lumOff val="35000"/>
                </a:sys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 OUTLET SALES PERFORMANCE DASHBOARD-(NUR FARISHA).xlsx]Pivot Table!PivotTable22</c:name>
    <c:fmtId val="11"/>
  </c:pivotSource>
  <c:chart>
    <c:title>
      <c:tx>
        <c:rich>
          <a:bodyPr rot="0" spcFirstLastPara="1" vertOverflow="ellipsis" vert="horz" wrap="square" anchor="ctr" anchorCtr="1"/>
          <a:lstStyle/>
          <a:p>
            <a:pPr>
              <a:defRPr sz="1200" b="1" i="0" u="none" strike="noStrike" kern="1200" spc="0" baseline="0">
                <a:solidFill>
                  <a:schemeClr val="accent3">
                    <a:lumMod val="50000"/>
                  </a:schemeClr>
                </a:solidFill>
                <a:latin typeface="Times New Roman" panose="02020603050405020304" pitchFamily="18" charset="0"/>
                <a:ea typeface="+mn-ea"/>
                <a:cs typeface="Times New Roman" panose="02020603050405020304" pitchFamily="18" charset="0"/>
              </a:defRPr>
            </a:pPr>
            <a:r>
              <a:rPr lang="en-MY" sz="1200" b="1" i="0" u="none" strike="noStrike" kern="1200" baseline="0">
                <a:solidFill>
                  <a:schemeClr val="accent3">
                    <a:lumMod val="50000"/>
                  </a:schemeClr>
                </a:solidFill>
                <a:latin typeface="Times New Roman" panose="02020603050405020304" pitchFamily="18" charset="0"/>
                <a:ea typeface="+mn-ea"/>
                <a:cs typeface="Times New Roman" panose="02020603050405020304" pitchFamily="18" charset="0"/>
              </a:rPr>
              <a:t>Food Cost % Trend</a:t>
            </a:r>
          </a:p>
        </c:rich>
      </c:tx>
      <c:layout>
        <c:manualLayout>
          <c:xMode val="edge"/>
          <c:yMode val="edge"/>
          <c:x val="8.3838195423489859E-2"/>
          <c:y val="1.436681047724631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C89800"/>
            </a:solidFill>
            <a:round/>
          </a:ln>
          <a:effectLst/>
        </c:spPr>
        <c:marker>
          <c:spPr>
            <a:solidFill>
              <a:srgbClr val="C89800"/>
            </a:solidFill>
            <a:ln w="9525">
              <a:solidFill>
                <a:srgbClr val="C898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C89800"/>
            </a:solidFill>
            <a:round/>
          </a:ln>
          <a:effectLst/>
        </c:spPr>
        <c:marker>
          <c:symbol val="circle"/>
          <c:size val="5"/>
        </c:marker>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9"/>
        <c:spPr>
          <a:ln w="28575" cap="rnd">
            <a:solidFill>
              <a:schemeClr val="accent3"/>
            </a:solidFill>
            <a:round/>
          </a:ln>
          <a:effectLst/>
        </c:spPr>
        <c:marker>
          <c:symbol val="circle"/>
          <c:size val="5"/>
          <c:spPr>
            <a:solidFill>
              <a:schemeClr val="accent3"/>
            </a:solidFill>
            <a:ln w="9525">
              <a:solidFill>
                <a:schemeClr val="accent3"/>
              </a:solidFill>
            </a:ln>
            <a:effectLst/>
          </c:spPr>
        </c:marker>
      </c:pivotFmt>
      <c:pivotFmt>
        <c:idx val="20"/>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21"/>
        <c:spPr>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s>
    <c:plotArea>
      <c:layout>
        <c:manualLayout>
          <c:layoutTarget val="inner"/>
          <c:xMode val="edge"/>
          <c:yMode val="edge"/>
          <c:x val="0.10944685039370079"/>
          <c:y val="0.14814814814814814"/>
          <c:w val="0.85999759405074361"/>
          <c:h val="0.63854913969087201"/>
        </c:manualLayout>
      </c:layout>
      <c:lineChart>
        <c:grouping val="standard"/>
        <c:varyColors val="0"/>
        <c:ser>
          <c:idx val="0"/>
          <c:order val="0"/>
          <c:tx>
            <c:strRef>
              <c:f>'Pivot Table'!$B$31:$B$32</c:f>
              <c:strCache>
                <c:ptCount val="1"/>
                <c:pt idx="0">
                  <c:v>Outlet 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Table'!$A$33:$A$35</c:f>
              <c:strCache>
                <c:ptCount val="3"/>
                <c:pt idx="0">
                  <c:v>Jan</c:v>
                </c:pt>
                <c:pt idx="1">
                  <c:v>Feb</c:v>
                </c:pt>
                <c:pt idx="2">
                  <c:v>Mar</c:v>
                </c:pt>
              </c:strCache>
            </c:strRef>
          </c:cat>
          <c:val>
            <c:numRef>
              <c:f>'Pivot Table'!$B$33:$B$35</c:f>
              <c:numCache>
                <c:formatCode>0.0%</c:formatCode>
                <c:ptCount val="3"/>
                <c:pt idx="0">
                  <c:v>0.3236842105263158</c:v>
                </c:pt>
                <c:pt idx="1">
                  <c:v>0.32290238124922077</c:v>
                </c:pt>
                <c:pt idx="2">
                  <c:v>0.30479357162648935</c:v>
                </c:pt>
              </c:numCache>
            </c:numRef>
          </c:val>
          <c:smooth val="0"/>
          <c:extLst>
            <c:ext xmlns:c16="http://schemas.microsoft.com/office/drawing/2014/chart" uri="{C3380CC4-5D6E-409C-BE32-E72D297353CC}">
              <c16:uniqueId val="{00000000-A2E4-4028-B036-958048C04228}"/>
            </c:ext>
          </c:extLst>
        </c:ser>
        <c:ser>
          <c:idx val="1"/>
          <c:order val="1"/>
          <c:tx>
            <c:strRef>
              <c:f>'Pivot Table'!$C$31:$C$32</c:f>
              <c:strCache>
                <c:ptCount val="1"/>
                <c:pt idx="0">
                  <c:v>Outlet B</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Table'!$A$33:$A$35</c:f>
              <c:strCache>
                <c:ptCount val="3"/>
                <c:pt idx="0">
                  <c:v>Jan</c:v>
                </c:pt>
                <c:pt idx="1">
                  <c:v>Feb</c:v>
                </c:pt>
                <c:pt idx="2">
                  <c:v>Mar</c:v>
                </c:pt>
              </c:strCache>
            </c:strRef>
          </c:cat>
          <c:val>
            <c:numRef>
              <c:f>'Pivot Table'!$C$33:$C$35</c:f>
              <c:numCache>
                <c:formatCode>0.0%</c:formatCode>
                <c:ptCount val="3"/>
                <c:pt idx="0">
                  <c:v>0.31962025316455694</c:v>
                </c:pt>
                <c:pt idx="1">
                  <c:v>0.31479865353447201</c:v>
                </c:pt>
                <c:pt idx="2">
                  <c:v>0.34376323912122497</c:v>
                </c:pt>
              </c:numCache>
            </c:numRef>
          </c:val>
          <c:smooth val="0"/>
          <c:extLst>
            <c:ext xmlns:c16="http://schemas.microsoft.com/office/drawing/2014/chart" uri="{C3380CC4-5D6E-409C-BE32-E72D297353CC}">
              <c16:uniqueId val="{00000001-C714-484A-8DAF-8DEB7E64591D}"/>
            </c:ext>
          </c:extLst>
        </c:ser>
        <c:ser>
          <c:idx val="2"/>
          <c:order val="2"/>
          <c:tx>
            <c:strRef>
              <c:f>'Pivot Table'!$D$31:$D$32</c:f>
              <c:strCache>
                <c:ptCount val="1"/>
                <c:pt idx="0">
                  <c:v>Outlet 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Table'!$A$33:$A$35</c:f>
              <c:strCache>
                <c:ptCount val="3"/>
                <c:pt idx="0">
                  <c:v>Jan</c:v>
                </c:pt>
                <c:pt idx="1">
                  <c:v>Feb</c:v>
                </c:pt>
                <c:pt idx="2">
                  <c:v>Mar</c:v>
                </c:pt>
              </c:strCache>
            </c:strRef>
          </c:cat>
          <c:val>
            <c:numRef>
              <c:f>'Pivot Table'!$D$33:$D$35</c:f>
              <c:numCache>
                <c:formatCode>0.0%</c:formatCode>
                <c:ptCount val="3"/>
                <c:pt idx="0">
                  <c:v>0.3160116064362965</c:v>
                </c:pt>
                <c:pt idx="1">
                  <c:v>0.30680015860428234</c:v>
                </c:pt>
                <c:pt idx="2">
                  <c:v>0.30777999430037045</c:v>
                </c:pt>
              </c:numCache>
            </c:numRef>
          </c:val>
          <c:smooth val="0"/>
          <c:extLst>
            <c:ext xmlns:c16="http://schemas.microsoft.com/office/drawing/2014/chart" uri="{C3380CC4-5D6E-409C-BE32-E72D297353CC}">
              <c16:uniqueId val="{00000002-C714-484A-8DAF-8DEB7E64591D}"/>
            </c:ext>
          </c:extLst>
        </c:ser>
        <c:ser>
          <c:idx val="3"/>
          <c:order val="3"/>
          <c:tx>
            <c:strRef>
              <c:f>'Pivot Table'!$E$31:$E$32</c:f>
              <c:strCache>
                <c:ptCount val="1"/>
                <c:pt idx="0">
                  <c:v>Outlet 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Table'!$A$33:$A$35</c:f>
              <c:strCache>
                <c:ptCount val="3"/>
                <c:pt idx="0">
                  <c:v>Jan</c:v>
                </c:pt>
                <c:pt idx="1">
                  <c:v>Feb</c:v>
                </c:pt>
                <c:pt idx="2">
                  <c:v>Mar</c:v>
                </c:pt>
              </c:strCache>
            </c:strRef>
          </c:cat>
          <c:val>
            <c:numRef>
              <c:f>'Pivot Table'!$E$33:$E$35</c:f>
              <c:numCache>
                <c:formatCode>0.0%</c:formatCode>
                <c:ptCount val="3"/>
                <c:pt idx="0">
                  <c:v>0.31536803202956576</c:v>
                </c:pt>
                <c:pt idx="1">
                  <c:v>0.3184638801077157</c:v>
                </c:pt>
                <c:pt idx="2">
                  <c:v>0.32486330009649406</c:v>
                </c:pt>
              </c:numCache>
            </c:numRef>
          </c:val>
          <c:smooth val="0"/>
          <c:extLst>
            <c:ext xmlns:c16="http://schemas.microsoft.com/office/drawing/2014/chart" uri="{C3380CC4-5D6E-409C-BE32-E72D297353CC}">
              <c16:uniqueId val="{00000003-C714-484A-8DAF-8DEB7E64591D}"/>
            </c:ext>
          </c:extLst>
        </c:ser>
        <c:ser>
          <c:idx val="4"/>
          <c:order val="4"/>
          <c:tx>
            <c:strRef>
              <c:f>'Pivot Table'!$F$31:$F$32</c:f>
              <c:strCache>
                <c:ptCount val="1"/>
                <c:pt idx="0">
                  <c:v>Outlet 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Table'!$A$33:$A$35</c:f>
              <c:strCache>
                <c:ptCount val="3"/>
                <c:pt idx="0">
                  <c:v>Jan</c:v>
                </c:pt>
                <c:pt idx="1">
                  <c:v>Feb</c:v>
                </c:pt>
                <c:pt idx="2">
                  <c:v>Mar</c:v>
                </c:pt>
              </c:strCache>
            </c:strRef>
          </c:cat>
          <c:val>
            <c:numRef>
              <c:f>'Pivot Table'!$F$33:$F$35</c:f>
              <c:numCache>
                <c:formatCode>0.0%</c:formatCode>
                <c:ptCount val="3"/>
                <c:pt idx="0">
                  <c:v>0.31166569936157862</c:v>
                </c:pt>
                <c:pt idx="1">
                  <c:v>0.30234802187198456</c:v>
                </c:pt>
                <c:pt idx="2">
                  <c:v>0.30645656400286503</c:v>
                </c:pt>
              </c:numCache>
            </c:numRef>
          </c:val>
          <c:smooth val="0"/>
          <c:extLst>
            <c:ext xmlns:c16="http://schemas.microsoft.com/office/drawing/2014/chart" uri="{C3380CC4-5D6E-409C-BE32-E72D297353CC}">
              <c16:uniqueId val="{00000004-C714-484A-8DAF-8DEB7E64591D}"/>
            </c:ext>
          </c:extLst>
        </c:ser>
        <c:dLbls>
          <c:showLegendKey val="0"/>
          <c:showVal val="0"/>
          <c:showCatName val="0"/>
          <c:showSerName val="0"/>
          <c:showPercent val="0"/>
          <c:showBubbleSize val="0"/>
        </c:dLbls>
        <c:marker val="1"/>
        <c:smooth val="0"/>
        <c:axId val="567780632"/>
        <c:axId val="567749672"/>
      </c:lineChart>
      <c:catAx>
        <c:axId val="567780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67749672"/>
        <c:crosses val="autoZero"/>
        <c:auto val="1"/>
        <c:lblAlgn val="ctr"/>
        <c:lblOffset val="100"/>
        <c:noMultiLvlLbl val="0"/>
      </c:catAx>
      <c:valAx>
        <c:axId val="567749672"/>
        <c:scaling>
          <c:orientation val="minMax"/>
          <c:min val="0.2900000000000000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67780632"/>
        <c:crosses val="autoZero"/>
        <c:crossBetween val="between"/>
      </c:valAx>
      <c:spPr>
        <a:noFill/>
        <a:ln>
          <a:noFill/>
        </a:ln>
        <a:effectLst/>
      </c:spPr>
    </c:plotArea>
    <c:legend>
      <c:legendPos val="b"/>
      <c:layout>
        <c:manualLayout>
          <c:xMode val="edge"/>
          <c:yMode val="edge"/>
          <c:x val="1.2318548241333178E-2"/>
          <c:y val="0.864907769778407"/>
          <c:w val="0.96434457578715249"/>
          <c:h val="0.10964710753736626"/>
        </c:manualLayout>
      </c:layout>
      <c:overlay val="0"/>
      <c:spPr>
        <a:noFill/>
        <a:ln>
          <a:noFill/>
        </a:ln>
        <a:effectLst/>
      </c:spPr>
      <c:txPr>
        <a:bodyPr rot="0" spcFirstLastPara="1" vertOverflow="ellipsis" vert="horz" wrap="square" anchor="ctr" anchorCtr="1"/>
        <a:lstStyle/>
        <a:p>
          <a:pPr algn="ctr">
            <a:defRPr lang="en-US" sz="7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 OUTLET SALES PERFORMANCE DASHBOARD-(NUR FARISHA).xlsx]Pivot Table!PivotTable23</c:name>
    <c:fmtId val="5"/>
  </c:pivotSource>
  <c:chart>
    <c:title>
      <c:tx>
        <c:rich>
          <a:bodyPr rot="0" spcFirstLastPara="1" vertOverflow="ellipsis" vert="horz" wrap="square" anchor="ctr" anchorCtr="1"/>
          <a:lstStyle/>
          <a:p>
            <a:pPr>
              <a:defRPr sz="1050" b="1" i="0" u="none" strike="noStrike" kern="1200" spc="0" baseline="0">
                <a:solidFill>
                  <a:schemeClr val="accent3">
                    <a:lumMod val="50000"/>
                  </a:schemeClr>
                </a:solidFill>
                <a:latin typeface="Times New Roman" panose="02020603050405020304" pitchFamily="18" charset="0"/>
                <a:ea typeface="+mn-ea"/>
                <a:cs typeface="Times New Roman" panose="02020603050405020304" pitchFamily="18" charset="0"/>
              </a:defRPr>
            </a:pPr>
            <a:r>
              <a:rPr lang="en-MY" sz="1050" b="1">
                <a:solidFill>
                  <a:schemeClr val="accent3">
                    <a:lumMod val="50000"/>
                  </a:schemeClr>
                </a:solidFill>
                <a:latin typeface="Times New Roman" panose="02020603050405020304" pitchFamily="18" charset="0"/>
                <a:cs typeface="Times New Roman" panose="02020603050405020304" pitchFamily="18" charset="0"/>
              </a:rPr>
              <a:t>Sales</a:t>
            </a:r>
            <a:r>
              <a:rPr lang="en-MY" sz="1050" b="1" baseline="0">
                <a:solidFill>
                  <a:schemeClr val="accent3">
                    <a:lumMod val="50000"/>
                  </a:schemeClr>
                </a:solidFill>
                <a:latin typeface="Times New Roman" panose="02020603050405020304" pitchFamily="18" charset="0"/>
                <a:cs typeface="Times New Roman" panose="02020603050405020304" pitchFamily="18" charset="0"/>
              </a:rPr>
              <a:t> Contribution By Outlet</a:t>
            </a:r>
            <a:endParaRPr lang="en-MY" sz="1050" b="1">
              <a:solidFill>
                <a:schemeClr val="accent3">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7.5052953011223791E-2"/>
          <c:y val="8.0993337371290122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MY"/>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w="19050">
            <a:noFill/>
          </a:ln>
          <a:effectLst/>
        </c:spPr>
      </c:pivotFmt>
      <c:pivotFmt>
        <c:idx val="2"/>
        <c:spPr>
          <a:solidFill>
            <a:schemeClr val="accent3"/>
          </a:solidFill>
          <a:ln w="19050">
            <a:noFill/>
          </a:ln>
          <a:effectLst/>
        </c:spPr>
      </c:pivotFmt>
      <c:pivotFmt>
        <c:idx val="3"/>
        <c:spPr>
          <a:solidFill>
            <a:schemeClr val="bg2">
              <a:lumMod val="10000"/>
            </a:schemeClr>
          </a:solidFill>
          <a:ln w="19050">
            <a:noFill/>
          </a:ln>
          <a:effectLst/>
        </c:spPr>
      </c:pivotFmt>
      <c:pivotFmt>
        <c:idx val="4"/>
        <c:spPr>
          <a:solidFill>
            <a:schemeClr val="bg2">
              <a:lumMod val="50000"/>
            </a:schemeClr>
          </a:solidFill>
          <a:ln w="19050">
            <a:noFill/>
          </a:ln>
          <a:effectLst/>
        </c:spPr>
      </c:pivotFmt>
      <c:pivotFmt>
        <c:idx val="5"/>
        <c:spPr>
          <a:solidFill>
            <a:srgbClr val="2C725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w="19050">
            <a:noFill/>
          </a:ln>
          <a:effectLst/>
        </c:spPr>
      </c:pivotFmt>
      <c:pivotFmt>
        <c:idx val="8"/>
        <c:spPr>
          <a:solidFill>
            <a:schemeClr val="bg2">
              <a:lumMod val="10000"/>
            </a:schemeClr>
          </a:solidFill>
          <a:ln w="19050">
            <a:noFill/>
          </a:ln>
          <a:effectLst/>
        </c:spPr>
      </c:pivotFmt>
      <c:pivotFmt>
        <c:idx val="9"/>
        <c:spPr>
          <a:solidFill>
            <a:srgbClr val="2C7251"/>
          </a:solidFill>
          <a:ln w="19050">
            <a:noFill/>
          </a:ln>
          <a:effectLst/>
        </c:spPr>
      </c:pivotFmt>
      <c:pivotFmt>
        <c:idx val="10"/>
        <c:spPr>
          <a:solidFill>
            <a:schemeClr val="bg2">
              <a:lumMod val="50000"/>
            </a:schemeClr>
          </a:solidFill>
          <a:ln w="19050">
            <a:noFill/>
          </a:ln>
          <a:effectLst/>
        </c:spPr>
      </c:pivotFmt>
      <c:pivotFmt>
        <c:idx val="11"/>
        <c:spPr>
          <a:solidFill>
            <a:schemeClr val="accent3">
              <a:lumMod val="50000"/>
            </a:schemeClr>
          </a:solidFill>
          <a:ln w="19050">
            <a:noFill/>
          </a:ln>
          <a:effectLst/>
        </c:spPr>
      </c:pivotFmt>
      <c:pivotFmt>
        <c:idx val="12"/>
        <c:spPr>
          <a:solidFill>
            <a:srgbClr val="2C7251"/>
          </a:solidFill>
          <a:ln w="19050">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w="19050">
            <a:noFill/>
          </a:ln>
          <a:effectLst/>
        </c:spPr>
      </c:pivotFmt>
      <c:pivotFmt>
        <c:idx val="14"/>
        <c:spPr>
          <a:solidFill>
            <a:schemeClr val="bg2">
              <a:lumMod val="50000"/>
            </a:schemeClr>
          </a:solidFill>
          <a:ln w="19050">
            <a:noFill/>
          </a:ln>
          <a:effectLst/>
        </c:spPr>
      </c:pivotFmt>
      <c:pivotFmt>
        <c:idx val="15"/>
        <c:spPr>
          <a:solidFill>
            <a:srgbClr val="2C7251"/>
          </a:solidFill>
          <a:ln w="19050">
            <a:noFill/>
          </a:ln>
          <a:effectLst/>
        </c:spPr>
      </c:pivotFmt>
      <c:pivotFmt>
        <c:idx val="16"/>
        <c:spPr>
          <a:solidFill>
            <a:srgbClr val="C89800"/>
          </a:solidFill>
          <a:ln w="19050">
            <a:noFill/>
          </a:ln>
          <a:effectLst/>
        </c:spPr>
      </c:pivotFmt>
      <c:pivotFmt>
        <c:idx val="17"/>
        <c:spPr>
          <a:solidFill>
            <a:schemeClr val="accent3">
              <a:lumMod val="50000"/>
            </a:schemeClr>
          </a:solidFill>
          <a:ln w="19050">
            <a:noFill/>
          </a:ln>
          <a:effectLst/>
        </c:spPr>
      </c:pivotFmt>
    </c:pivotFmts>
    <c:plotArea>
      <c:layout>
        <c:manualLayout>
          <c:layoutTarget val="inner"/>
          <c:xMode val="edge"/>
          <c:yMode val="edge"/>
          <c:x val="0.12617989451762962"/>
          <c:y val="0.19857229384788441"/>
          <c:w val="0.49343769304453833"/>
          <c:h val="0.67779931354734502"/>
        </c:manualLayout>
      </c:layout>
      <c:doughnutChart>
        <c:varyColors val="1"/>
        <c:ser>
          <c:idx val="0"/>
          <c:order val="0"/>
          <c:tx>
            <c:strRef>
              <c:f>'Pivot Table'!$B$40</c:f>
              <c:strCache>
                <c:ptCount val="1"/>
                <c:pt idx="0">
                  <c:v>Total</c:v>
                </c:pt>
              </c:strCache>
            </c:strRef>
          </c:tx>
          <c:spPr>
            <a:solidFill>
              <a:srgbClr val="2C7251"/>
            </a:solidFill>
            <a:ln>
              <a:noFill/>
            </a:ln>
          </c:spPr>
          <c:dPt>
            <c:idx val="0"/>
            <c:bubble3D val="0"/>
            <c:spPr>
              <a:solidFill>
                <a:schemeClr val="accent3"/>
              </a:solidFill>
              <a:ln w="19050">
                <a:noFill/>
              </a:ln>
              <a:effectLst/>
            </c:spPr>
            <c:extLst>
              <c:ext xmlns:c16="http://schemas.microsoft.com/office/drawing/2014/chart" uri="{C3380CC4-5D6E-409C-BE32-E72D297353CC}">
                <c16:uniqueId val="{00000001-6F03-4A6B-BE38-70841D84DF2A}"/>
              </c:ext>
            </c:extLst>
          </c:dPt>
          <c:dPt>
            <c:idx val="1"/>
            <c:bubble3D val="0"/>
            <c:spPr>
              <a:solidFill>
                <a:schemeClr val="bg2">
                  <a:lumMod val="50000"/>
                </a:schemeClr>
              </a:solidFill>
              <a:ln w="19050">
                <a:noFill/>
              </a:ln>
              <a:effectLst/>
            </c:spPr>
            <c:extLst>
              <c:ext xmlns:c16="http://schemas.microsoft.com/office/drawing/2014/chart" uri="{C3380CC4-5D6E-409C-BE32-E72D297353CC}">
                <c16:uniqueId val="{00000003-6F03-4A6B-BE38-70841D84DF2A}"/>
              </c:ext>
            </c:extLst>
          </c:dPt>
          <c:dPt>
            <c:idx val="2"/>
            <c:bubble3D val="0"/>
            <c:spPr>
              <a:solidFill>
                <a:srgbClr val="2C7251"/>
              </a:solidFill>
              <a:ln w="19050">
                <a:noFill/>
              </a:ln>
              <a:effectLst/>
            </c:spPr>
            <c:extLst>
              <c:ext xmlns:c16="http://schemas.microsoft.com/office/drawing/2014/chart" uri="{C3380CC4-5D6E-409C-BE32-E72D297353CC}">
                <c16:uniqueId val="{00000005-6F03-4A6B-BE38-70841D84DF2A}"/>
              </c:ext>
            </c:extLst>
          </c:dPt>
          <c:dPt>
            <c:idx val="3"/>
            <c:bubble3D val="0"/>
            <c:spPr>
              <a:solidFill>
                <a:srgbClr val="C89800"/>
              </a:solidFill>
              <a:ln w="19050">
                <a:noFill/>
              </a:ln>
              <a:effectLst/>
            </c:spPr>
            <c:extLst>
              <c:ext xmlns:c16="http://schemas.microsoft.com/office/drawing/2014/chart" uri="{C3380CC4-5D6E-409C-BE32-E72D297353CC}">
                <c16:uniqueId val="{00000007-6F03-4A6B-BE38-70841D84DF2A}"/>
              </c:ext>
            </c:extLst>
          </c:dPt>
          <c:dPt>
            <c:idx val="4"/>
            <c:bubble3D val="0"/>
            <c:spPr>
              <a:solidFill>
                <a:schemeClr val="accent3">
                  <a:lumMod val="50000"/>
                </a:schemeClr>
              </a:solidFill>
              <a:ln w="19050">
                <a:noFill/>
              </a:ln>
              <a:effectLst/>
            </c:spPr>
            <c:extLst>
              <c:ext xmlns:c16="http://schemas.microsoft.com/office/drawing/2014/chart" uri="{C3380CC4-5D6E-409C-BE32-E72D297353CC}">
                <c16:uniqueId val="{00000009-6F03-4A6B-BE38-70841D84DF2A}"/>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Table'!$A$41:$A$45</c:f>
              <c:strCache>
                <c:ptCount val="5"/>
                <c:pt idx="0">
                  <c:v>Outlet A</c:v>
                </c:pt>
                <c:pt idx="1">
                  <c:v>Outlet B</c:v>
                </c:pt>
                <c:pt idx="2">
                  <c:v>Outlet C</c:v>
                </c:pt>
                <c:pt idx="3">
                  <c:v>Outlet D</c:v>
                </c:pt>
                <c:pt idx="4">
                  <c:v>Outlet E</c:v>
                </c:pt>
              </c:strCache>
            </c:strRef>
          </c:cat>
          <c:val>
            <c:numRef>
              <c:f>'Pivot Table'!$B$41:$B$45</c:f>
              <c:numCache>
                <c:formatCode>0.00%</c:formatCode>
                <c:ptCount val="5"/>
                <c:pt idx="0">
                  <c:v>0.18582179024121731</c:v>
                </c:pt>
                <c:pt idx="1">
                  <c:v>0.18234566691047285</c:v>
                </c:pt>
                <c:pt idx="2">
                  <c:v>0.22690941720266328</c:v>
                </c:pt>
                <c:pt idx="3">
                  <c:v>0.19594100392854719</c:v>
                </c:pt>
                <c:pt idx="4">
                  <c:v>0.20898212171709937</c:v>
                </c:pt>
              </c:numCache>
            </c:numRef>
          </c:val>
          <c:extLst>
            <c:ext xmlns:c16="http://schemas.microsoft.com/office/drawing/2014/chart" uri="{C3380CC4-5D6E-409C-BE32-E72D297353CC}">
              <c16:uniqueId val="{0000000A-6F03-4A6B-BE38-70841D84DF2A}"/>
            </c:ext>
          </c:extLst>
        </c:ser>
        <c:dLbls>
          <c:showLegendKey val="0"/>
          <c:showVal val="0"/>
          <c:showCatName val="0"/>
          <c:showSerName val="0"/>
          <c:showPercent val="0"/>
          <c:showBubbleSize val="0"/>
          <c:showLeaderLines val="1"/>
        </c:dLbls>
        <c:firstSliceAng val="0"/>
        <c:holeSize val="39"/>
      </c:doughnutChart>
      <c:spPr>
        <a:noFill/>
        <a:ln>
          <a:noFill/>
        </a:ln>
        <a:effectLst/>
      </c:spPr>
    </c:plotArea>
    <c:legend>
      <c:legendPos val="r"/>
      <c:layout>
        <c:manualLayout>
          <c:xMode val="edge"/>
          <c:yMode val="edge"/>
          <c:x val="0.63546287525170553"/>
          <c:y val="0.26708456012248261"/>
          <c:w val="0.27017264555469611"/>
          <c:h val="0.539908138028500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 OUTLET SALES PERFORMANCE DASHBOARD-(NUR FARISHA).xlsx]Pivot Table!PivotTable24</c:name>
    <c:fmtId val="3"/>
  </c:pivotSource>
  <c:chart>
    <c:title>
      <c:tx>
        <c:rich>
          <a:bodyPr rot="0" spcFirstLastPara="1" vertOverflow="ellipsis" vert="horz" wrap="square" anchor="ctr" anchorCtr="1"/>
          <a:lstStyle/>
          <a:p>
            <a:pPr>
              <a:defRPr sz="1200" b="1" i="0" u="none" strike="noStrike" kern="1200" spc="0" baseline="0">
                <a:solidFill>
                  <a:schemeClr val="accent3">
                    <a:lumMod val="50000"/>
                  </a:schemeClr>
                </a:solidFill>
                <a:latin typeface="Times New Roman" panose="02020603050405020304" pitchFamily="18" charset="0"/>
                <a:ea typeface="+mn-ea"/>
                <a:cs typeface="Times New Roman" panose="02020603050405020304" pitchFamily="18" charset="0"/>
              </a:defRPr>
            </a:pPr>
            <a:r>
              <a:rPr lang="en-MY" sz="1200" b="1">
                <a:solidFill>
                  <a:schemeClr val="accent3">
                    <a:lumMod val="50000"/>
                  </a:schemeClr>
                </a:solidFill>
                <a:latin typeface="Times New Roman" panose="02020603050405020304" pitchFamily="18" charset="0"/>
                <a:cs typeface="Times New Roman" panose="02020603050405020304" pitchFamily="18" charset="0"/>
              </a:rPr>
              <a:t>Sales</a:t>
            </a:r>
            <a:r>
              <a:rPr lang="en-MY" sz="1200" b="1" baseline="0">
                <a:solidFill>
                  <a:schemeClr val="accent3">
                    <a:lumMod val="50000"/>
                  </a:schemeClr>
                </a:solidFill>
                <a:latin typeface="Times New Roman" panose="02020603050405020304" pitchFamily="18" charset="0"/>
                <a:cs typeface="Times New Roman" panose="02020603050405020304" pitchFamily="18" charset="0"/>
              </a:rPr>
              <a:t> vs Purchases vs Usage</a:t>
            </a:r>
            <a:endParaRPr lang="en-MY" sz="1200" b="1">
              <a:solidFill>
                <a:schemeClr val="accent3">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0664566929133857"/>
          <c:y val="2.777777777777777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MY"/>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8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pivotFmt>
      <c:pivotFmt>
        <c:idx val="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pivotFmt>
      <c:pivotFmt>
        <c:idx val="6"/>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8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lumMod val="75000"/>
            </a:schemeClr>
          </a:solidFill>
          <a:ln>
            <a:noFill/>
          </a:ln>
          <a:effectLst/>
        </c:spPr>
      </c:pivotFmt>
      <c:pivotFmt>
        <c:idx val="10"/>
        <c:spPr>
          <a:solidFill>
            <a:srgbClr val="C89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2C72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48291014185024"/>
          <c:y val="0.2053895854346478"/>
          <c:w val="0.61271491344480811"/>
          <c:h val="0.64650121604541766"/>
        </c:manualLayout>
      </c:layout>
      <c:barChart>
        <c:barDir val="bar"/>
        <c:grouping val="clustered"/>
        <c:varyColors val="0"/>
        <c:ser>
          <c:idx val="0"/>
          <c:order val="0"/>
          <c:tx>
            <c:strRef>
              <c:f>'Pivot Table'!$B$48</c:f>
              <c:strCache>
                <c:ptCount val="1"/>
                <c:pt idx="0">
                  <c:v> Sales    </c:v>
                </c:pt>
              </c:strCache>
            </c:strRef>
          </c:tx>
          <c:spPr>
            <a:solidFill>
              <a:schemeClr val="accent3">
                <a:lumMod val="75000"/>
              </a:schemeClr>
            </a:solidFill>
            <a:ln>
              <a:noFill/>
            </a:ln>
            <a:effectLst/>
          </c:spPr>
          <c:invertIfNegative val="0"/>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1-9264-4903-8A90-8924F2DD05DB}"/>
              </c:ext>
            </c:extLst>
          </c:dPt>
          <c:cat>
            <c:strRef>
              <c:f>'Pivot Table'!$A$49:$A$53</c:f>
              <c:strCache>
                <c:ptCount val="5"/>
                <c:pt idx="0">
                  <c:v>Outlet A</c:v>
                </c:pt>
                <c:pt idx="1">
                  <c:v>Outlet B</c:v>
                </c:pt>
                <c:pt idx="2">
                  <c:v>Outlet C</c:v>
                </c:pt>
                <c:pt idx="3">
                  <c:v>Outlet D</c:v>
                </c:pt>
                <c:pt idx="4">
                  <c:v>Outlet E</c:v>
                </c:pt>
              </c:strCache>
            </c:strRef>
          </c:cat>
          <c:val>
            <c:numRef>
              <c:f>'Pivot Table'!$B$49:$B$53</c:f>
              <c:numCache>
                <c:formatCode>"RM"#,##0</c:formatCode>
                <c:ptCount val="5"/>
                <c:pt idx="0">
                  <c:v>492870</c:v>
                </c:pt>
                <c:pt idx="1">
                  <c:v>483650</c:v>
                </c:pt>
                <c:pt idx="2">
                  <c:v>601850</c:v>
                </c:pt>
                <c:pt idx="3">
                  <c:v>519710</c:v>
                </c:pt>
                <c:pt idx="4">
                  <c:v>554300</c:v>
                </c:pt>
              </c:numCache>
            </c:numRef>
          </c:val>
          <c:extLst>
            <c:ext xmlns:c16="http://schemas.microsoft.com/office/drawing/2014/chart" uri="{C3380CC4-5D6E-409C-BE32-E72D297353CC}">
              <c16:uniqueId val="{00000002-9264-4903-8A90-8924F2DD05DB}"/>
            </c:ext>
          </c:extLst>
        </c:ser>
        <c:ser>
          <c:idx val="1"/>
          <c:order val="1"/>
          <c:tx>
            <c:strRef>
              <c:f>'Pivot Table'!$C$48</c:f>
              <c:strCache>
                <c:ptCount val="1"/>
                <c:pt idx="0">
                  <c:v> Purchases </c:v>
                </c:pt>
              </c:strCache>
            </c:strRef>
          </c:tx>
          <c:spPr>
            <a:solidFill>
              <a:srgbClr val="C89800"/>
            </a:solidFill>
            <a:ln>
              <a:noFill/>
            </a:ln>
            <a:effectLst/>
          </c:spPr>
          <c:invertIfNegative val="0"/>
          <c:cat>
            <c:strRef>
              <c:f>'Pivot Table'!$A$49:$A$53</c:f>
              <c:strCache>
                <c:ptCount val="5"/>
                <c:pt idx="0">
                  <c:v>Outlet A</c:v>
                </c:pt>
                <c:pt idx="1">
                  <c:v>Outlet B</c:v>
                </c:pt>
                <c:pt idx="2">
                  <c:v>Outlet C</c:v>
                </c:pt>
                <c:pt idx="3">
                  <c:v>Outlet D</c:v>
                </c:pt>
                <c:pt idx="4">
                  <c:v>Outlet E</c:v>
                </c:pt>
              </c:strCache>
            </c:strRef>
          </c:cat>
          <c:val>
            <c:numRef>
              <c:f>'Pivot Table'!$C$49:$C$53</c:f>
              <c:numCache>
                <c:formatCode>"RM"#,##0</c:formatCode>
                <c:ptCount val="5"/>
                <c:pt idx="0">
                  <c:v>161500</c:v>
                </c:pt>
                <c:pt idx="1">
                  <c:v>160000</c:v>
                </c:pt>
                <c:pt idx="2">
                  <c:v>191000</c:v>
                </c:pt>
                <c:pt idx="3">
                  <c:v>171000</c:v>
                </c:pt>
                <c:pt idx="4">
                  <c:v>174000</c:v>
                </c:pt>
              </c:numCache>
            </c:numRef>
          </c:val>
          <c:extLst>
            <c:ext xmlns:c16="http://schemas.microsoft.com/office/drawing/2014/chart" uri="{C3380CC4-5D6E-409C-BE32-E72D297353CC}">
              <c16:uniqueId val="{00000003-9264-4903-8A90-8924F2DD05DB}"/>
            </c:ext>
          </c:extLst>
        </c:ser>
        <c:ser>
          <c:idx val="2"/>
          <c:order val="2"/>
          <c:tx>
            <c:strRef>
              <c:f>'Pivot Table'!$D$48</c:f>
              <c:strCache>
                <c:ptCount val="1"/>
                <c:pt idx="0">
                  <c:v> Usage </c:v>
                </c:pt>
              </c:strCache>
            </c:strRef>
          </c:tx>
          <c:spPr>
            <a:solidFill>
              <a:srgbClr val="2C7251"/>
            </a:solidFill>
            <a:ln>
              <a:noFill/>
            </a:ln>
            <a:effectLst/>
          </c:spPr>
          <c:invertIfNegative val="0"/>
          <c:cat>
            <c:strRef>
              <c:f>'Pivot Table'!$A$49:$A$53</c:f>
              <c:strCache>
                <c:ptCount val="5"/>
                <c:pt idx="0">
                  <c:v>Outlet A</c:v>
                </c:pt>
                <c:pt idx="1">
                  <c:v>Outlet B</c:v>
                </c:pt>
                <c:pt idx="2">
                  <c:v>Outlet C</c:v>
                </c:pt>
                <c:pt idx="3">
                  <c:v>Outlet D</c:v>
                </c:pt>
                <c:pt idx="4">
                  <c:v>Outlet E</c:v>
                </c:pt>
              </c:strCache>
            </c:strRef>
          </c:cat>
          <c:val>
            <c:numRef>
              <c:f>'Pivot Table'!$D$49:$D$53</c:f>
              <c:numCache>
                <c:formatCode>"RM"#,##0</c:formatCode>
                <c:ptCount val="5"/>
                <c:pt idx="0">
                  <c:v>156000</c:v>
                </c:pt>
                <c:pt idx="1">
                  <c:v>157800</c:v>
                </c:pt>
                <c:pt idx="2">
                  <c:v>186600</c:v>
                </c:pt>
                <c:pt idx="3">
                  <c:v>166200</c:v>
                </c:pt>
                <c:pt idx="4">
                  <c:v>170000</c:v>
                </c:pt>
              </c:numCache>
            </c:numRef>
          </c:val>
          <c:extLst>
            <c:ext xmlns:c16="http://schemas.microsoft.com/office/drawing/2014/chart" uri="{C3380CC4-5D6E-409C-BE32-E72D297353CC}">
              <c16:uniqueId val="{00000004-9264-4903-8A90-8924F2DD05DB}"/>
            </c:ext>
          </c:extLst>
        </c:ser>
        <c:dLbls>
          <c:showLegendKey val="0"/>
          <c:showVal val="0"/>
          <c:showCatName val="0"/>
          <c:showSerName val="0"/>
          <c:showPercent val="0"/>
          <c:showBubbleSize val="0"/>
        </c:dLbls>
        <c:gapWidth val="55"/>
        <c:axId val="567752192"/>
        <c:axId val="567760472"/>
      </c:barChart>
      <c:catAx>
        <c:axId val="5677521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US"/>
          </a:p>
        </c:txPr>
        <c:crossAx val="567760472"/>
        <c:crosses val="autoZero"/>
        <c:auto val="1"/>
        <c:lblAlgn val="ctr"/>
        <c:lblOffset val="100"/>
        <c:noMultiLvlLbl val="0"/>
      </c:catAx>
      <c:valAx>
        <c:axId val="567760472"/>
        <c:scaling>
          <c:orientation val="minMax"/>
          <c:max val="620000"/>
          <c:min val="50000"/>
        </c:scaling>
        <c:delete val="0"/>
        <c:axPos val="b"/>
        <c:majorGridlines>
          <c:spPr>
            <a:ln w="9525" cap="flat" cmpd="sng" algn="ctr">
              <a:solidFill>
                <a:schemeClr val="tx1">
                  <a:lumMod val="15000"/>
                  <a:lumOff val="85000"/>
                </a:schemeClr>
              </a:solidFill>
              <a:round/>
            </a:ln>
            <a:effectLst/>
          </c:spPr>
        </c:majorGridlines>
        <c:numFmt formatCode="###,\k"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US"/>
          </a:p>
        </c:txPr>
        <c:crossAx val="567752192"/>
        <c:crosses val="autoZero"/>
        <c:crossBetween val="between"/>
        <c:majorUnit val="150000"/>
      </c:valAx>
      <c:spPr>
        <a:noFill/>
        <a:ln>
          <a:noFill/>
        </a:ln>
        <a:effectLst/>
      </c:spPr>
    </c:plotArea>
    <c:legend>
      <c:legendPos val="r"/>
      <c:layout>
        <c:manualLayout>
          <c:xMode val="edge"/>
          <c:yMode val="edge"/>
          <c:x val="0.81664505247750885"/>
          <c:y val="0.17686098384638982"/>
          <c:w val="0.17970565912127473"/>
          <c:h val="0.64475310740185277"/>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accent3">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110908</xdr:colOff>
      <xdr:row>8</xdr:row>
      <xdr:rowOff>15217</xdr:rowOff>
    </xdr:from>
    <xdr:to>
      <xdr:col>2</xdr:col>
      <xdr:colOff>180975</xdr:colOff>
      <xdr:row>17</xdr:row>
      <xdr:rowOff>142874</xdr:rowOff>
    </xdr:to>
    <xdr:sp macro="" textlink="">
      <xdr:nvSpPr>
        <xdr:cNvPr id="109" name="Rectangle: Rounded Corners 108">
          <a:extLst>
            <a:ext uri="{FF2B5EF4-FFF2-40B4-BE49-F238E27FC236}">
              <a16:creationId xmlns:a16="http://schemas.microsoft.com/office/drawing/2014/main" id="{3F1978EE-D6FB-57C1-7CF0-91D8201A69AE}"/>
            </a:ext>
          </a:extLst>
        </xdr:cNvPr>
        <xdr:cNvSpPr/>
      </xdr:nvSpPr>
      <xdr:spPr>
        <a:xfrm>
          <a:off x="110908" y="1539217"/>
          <a:ext cx="1279742" cy="1842157"/>
        </a:xfrm>
        <a:prstGeom prst="roundRect">
          <a:avLst>
            <a:gd name="adj" fmla="val 74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editAs="oneCell">
    <xdr:from>
      <xdr:col>0</xdr:col>
      <xdr:colOff>161925</xdr:colOff>
      <xdr:row>8</xdr:row>
      <xdr:rowOff>57150</xdr:rowOff>
    </xdr:from>
    <xdr:to>
      <xdr:col>2</xdr:col>
      <xdr:colOff>85725</xdr:colOff>
      <xdr:row>17</xdr:row>
      <xdr:rowOff>95250</xdr:rowOff>
    </xdr:to>
    <mc:AlternateContent xmlns:mc="http://schemas.openxmlformats.org/markup-compatibility/2006" xmlns:a14="http://schemas.microsoft.com/office/drawing/2010/main">
      <mc:Choice Requires="a14">
        <xdr:graphicFrame macro="">
          <xdr:nvGraphicFramePr>
            <xdr:cNvPr id="86" name="Outlet">
              <a:extLst>
                <a:ext uri="{FF2B5EF4-FFF2-40B4-BE49-F238E27FC236}">
                  <a16:creationId xmlns:a16="http://schemas.microsoft.com/office/drawing/2014/main" id="{51F153E4-8675-4C95-9789-8EDDE162740C}"/>
                </a:ext>
              </a:extLst>
            </xdr:cNvPr>
            <xdr:cNvGraphicFramePr/>
          </xdr:nvGraphicFramePr>
          <xdr:xfrm>
            <a:off x="0" y="0"/>
            <a:ext cx="0" cy="0"/>
          </xdr:xfrm>
          <a:graphic>
            <a:graphicData uri="http://schemas.microsoft.com/office/drawing/2010/slicer">
              <sle:slicer xmlns:sle="http://schemas.microsoft.com/office/drawing/2010/slicer" name="Outlet"/>
            </a:graphicData>
          </a:graphic>
        </xdr:graphicFrame>
      </mc:Choice>
      <mc:Fallback xmlns="">
        <xdr:sp macro="" textlink="">
          <xdr:nvSpPr>
            <xdr:cNvPr id="0" name=""/>
            <xdr:cNvSpPr>
              <a:spLocks noTextEdit="1"/>
            </xdr:cNvSpPr>
          </xdr:nvSpPr>
          <xdr:spPr>
            <a:xfrm>
              <a:off x="161925" y="1581150"/>
              <a:ext cx="1136984" cy="175260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123824</xdr:colOff>
      <xdr:row>0</xdr:row>
      <xdr:rowOff>85725</xdr:rowOff>
    </xdr:from>
    <xdr:to>
      <xdr:col>21</xdr:col>
      <xdr:colOff>304800</xdr:colOff>
      <xdr:row>3</xdr:row>
      <xdr:rowOff>0</xdr:rowOff>
    </xdr:to>
    <xdr:sp macro="" textlink="">
      <xdr:nvSpPr>
        <xdr:cNvPr id="2" name="Rectangle: Rounded Corners 1">
          <a:extLst>
            <a:ext uri="{FF2B5EF4-FFF2-40B4-BE49-F238E27FC236}">
              <a16:creationId xmlns:a16="http://schemas.microsoft.com/office/drawing/2014/main" id="{5CFB1860-1BB8-A844-A3B5-A5FCC04CCCA9}"/>
            </a:ext>
          </a:extLst>
        </xdr:cNvPr>
        <xdr:cNvSpPr/>
      </xdr:nvSpPr>
      <xdr:spPr>
        <a:xfrm>
          <a:off x="1657349" y="85725"/>
          <a:ext cx="10953751" cy="485775"/>
        </a:xfrm>
        <a:prstGeom prst="roundRect">
          <a:avLst/>
        </a:prstGeom>
        <a:solidFill>
          <a:schemeClr val="accent3">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MY" sz="1600" b="1">
              <a:solidFill>
                <a:schemeClr val="accent3">
                  <a:lumMod val="50000"/>
                </a:schemeClr>
              </a:solidFill>
              <a:latin typeface="Times New Roman" panose="02020603050405020304" pitchFamily="18" charset="0"/>
              <a:cs typeface="Times New Roman" panose="02020603050405020304" pitchFamily="18" charset="0"/>
            </a:rPr>
            <a:t>   MULTI-OUTLET</a:t>
          </a:r>
          <a:r>
            <a:rPr lang="en-MY" sz="1600" b="1" baseline="0">
              <a:solidFill>
                <a:schemeClr val="accent3">
                  <a:lumMod val="50000"/>
                </a:schemeClr>
              </a:solidFill>
              <a:latin typeface="Times New Roman" panose="02020603050405020304" pitchFamily="18" charset="0"/>
              <a:cs typeface="Times New Roman" panose="02020603050405020304" pitchFamily="18" charset="0"/>
            </a:rPr>
            <a:t> F&amp;B PERFORMANCE AND COST CONTROL FOR Q1 2026</a:t>
          </a:r>
        </a:p>
        <a:p>
          <a:pPr algn="l"/>
          <a:endParaRPr lang="en-MY" sz="1100"/>
        </a:p>
      </xdr:txBody>
    </xdr:sp>
    <xdr:clientData/>
  </xdr:twoCellAnchor>
  <xdr:twoCellAnchor>
    <xdr:from>
      <xdr:col>4</xdr:col>
      <xdr:colOff>3927</xdr:colOff>
      <xdr:row>3</xdr:row>
      <xdr:rowOff>104774</xdr:rowOff>
    </xdr:from>
    <xdr:to>
      <xdr:col>6</xdr:col>
      <xdr:colOff>90236</xdr:colOff>
      <xdr:row>7</xdr:row>
      <xdr:rowOff>108017</xdr:rowOff>
    </xdr:to>
    <xdr:sp macro="" textlink="'Pivot Table'!B4">
      <xdr:nvSpPr>
        <xdr:cNvPr id="4" name="Rectangle: Rounded Corners 3">
          <a:extLst>
            <a:ext uri="{FF2B5EF4-FFF2-40B4-BE49-F238E27FC236}">
              <a16:creationId xmlns:a16="http://schemas.microsoft.com/office/drawing/2014/main" id="{DCBC8949-4A26-C65F-39E4-3BB92BB66603}"/>
            </a:ext>
          </a:extLst>
        </xdr:cNvPr>
        <xdr:cNvSpPr/>
      </xdr:nvSpPr>
      <xdr:spPr>
        <a:xfrm>
          <a:off x="1722355" y="664490"/>
          <a:ext cx="1539608" cy="74953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MY" sz="16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130394</xdr:colOff>
      <xdr:row>8</xdr:row>
      <xdr:rowOff>59558</xdr:rowOff>
    </xdr:from>
    <xdr:to>
      <xdr:col>10</xdr:col>
      <xdr:colOff>400050</xdr:colOff>
      <xdr:row>16</xdr:row>
      <xdr:rowOff>133350</xdr:rowOff>
    </xdr:to>
    <xdr:sp macro="" textlink="">
      <xdr:nvSpPr>
        <xdr:cNvPr id="38" name="Rectangle: Rounded Corners 37">
          <a:extLst>
            <a:ext uri="{FF2B5EF4-FFF2-40B4-BE49-F238E27FC236}">
              <a16:creationId xmlns:a16="http://schemas.microsoft.com/office/drawing/2014/main" id="{2B9CBE07-0258-CA80-1490-9084054EFB2B}"/>
            </a:ext>
          </a:extLst>
        </xdr:cNvPr>
        <xdr:cNvSpPr/>
      </xdr:nvSpPr>
      <xdr:spPr>
        <a:xfrm>
          <a:off x="1663919" y="1583558"/>
          <a:ext cx="4336831" cy="159779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15</xdr:col>
      <xdr:colOff>409575</xdr:colOff>
      <xdr:row>8</xdr:row>
      <xdr:rowOff>57149</xdr:rowOff>
    </xdr:from>
    <xdr:to>
      <xdr:col>21</xdr:col>
      <xdr:colOff>304800</xdr:colOff>
      <xdr:row>25</xdr:row>
      <xdr:rowOff>38100</xdr:rowOff>
    </xdr:to>
    <xdr:sp macro="" textlink="">
      <xdr:nvSpPr>
        <xdr:cNvPr id="44" name="Rectangle: Rounded Corners 43">
          <a:extLst>
            <a:ext uri="{FF2B5EF4-FFF2-40B4-BE49-F238E27FC236}">
              <a16:creationId xmlns:a16="http://schemas.microsoft.com/office/drawing/2014/main" id="{E56F2915-0C44-9467-06A4-EF47D09AA189}"/>
            </a:ext>
          </a:extLst>
        </xdr:cNvPr>
        <xdr:cNvSpPr/>
      </xdr:nvSpPr>
      <xdr:spPr>
        <a:xfrm>
          <a:off x="9058275" y="1581149"/>
          <a:ext cx="3552825" cy="3219451"/>
        </a:xfrm>
        <a:prstGeom prst="roundRect">
          <a:avLst>
            <a:gd name="adj" fmla="val 780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9</xdr:col>
      <xdr:colOff>228600</xdr:colOff>
      <xdr:row>17</xdr:row>
      <xdr:rowOff>25291</xdr:rowOff>
    </xdr:from>
    <xdr:to>
      <xdr:col>15</xdr:col>
      <xdr:colOff>333375</xdr:colOff>
      <xdr:row>25</xdr:row>
      <xdr:rowOff>38100</xdr:rowOff>
    </xdr:to>
    <xdr:sp macro="" textlink="">
      <xdr:nvSpPr>
        <xdr:cNvPr id="48" name="Rectangle: Rounded Corners 47">
          <a:extLst>
            <a:ext uri="{FF2B5EF4-FFF2-40B4-BE49-F238E27FC236}">
              <a16:creationId xmlns:a16="http://schemas.microsoft.com/office/drawing/2014/main" id="{3F4D15AF-E45D-6F27-2611-55EE67E2AE51}"/>
            </a:ext>
          </a:extLst>
        </xdr:cNvPr>
        <xdr:cNvSpPr/>
      </xdr:nvSpPr>
      <xdr:spPr>
        <a:xfrm>
          <a:off x="5219700" y="3263791"/>
          <a:ext cx="3762375" cy="153680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110908</xdr:colOff>
      <xdr:row>0</xdr:row>
      <xdr:rowOff>186668</xdr:rowOff>
    </xdr:from>
    <xdr:to>
      <xdr:col>2</xdr:col>
      <xdr:colOff>180975</xdr:colOff>
      <xdr:row>7</xdr:row>
      <xdr:rowOff>104776</xdr:rowOff>
    </xdr:to>
    <xdr:sp macro="" textlink="">
      <xdr:nvSpPr>
        <xdr:cNvPr id="52" name="Rectangle: Rounded Corners 51">
          <a:extLst>
            <a:ext uri="{FF2B5EF4-FFF2-40B4-BE49-F238E27FC236}">
              <a16:creationId xmlns:a16="http://schemas.microsoft.com/office/drawing/2014/main" id="{E71D2C36-D84A-0664-1DC1-7A3B4A170FED}"/>
            </a:ext>
          </a:extLst>
        </xdr:cNvPr>
        <xdr:cNvSpPr/>
      </xdr:nvSpPr>
      <xdr:spPr>
        <a:xfrm>
          <a:off x="110908" y="186668"/>
          <a:ext cx="1279742" cy="1251608"/>
        </a:xfrm>
        <a:prstGeom prst="roundRect">
          <a:avLst>
            <a:gd name="adj" fmla="val 74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6</xdr:col>
      <xdr:colOff>381000</xdr:colOff>
      <xdr:row>3</xdr:row>
      <xdr:rowOff>114299</xdr:rowOff>
    </xdr:from>
    <xdr:to>
      <xdr:col>8</xdr:col>
      <xdr:colOff>571500</xdr:colOff>
      <xdr:row>7</xdr:row>
      <xdr:rowOff>133350</xdr:rowOff>
    </xdr:to>
    <xdr:sp macro="" textlink="">
      <xdr:nvSpPr>
        <xdr:cNvPr id="54" name="Rectangle: Rounded Corners 53">
          <a:extLst>
            <a:ext uri="{FF2B5EF4-FFF2-40B4-BE49-F238E27FC236}">
              <a16:creationId xmlns:a16="http://schemas.microsoft.com/office/drawing/2014/main" id="{4FB3079D-EE96-5E29-CDB6-BC5C4838AAC9}"/>
            </a:ext>
          </a:extLst>
        </xdr:cNvPr>
        <xdr:cNvSpPr/>
      </xdr:nvSpPr>
      <xdr:spPr>
        <a:xfrm>
          <a:off x="3546078" y="679846"/>
          <a:ext cx="1768078" cy="77311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MY" sz="1100" b="1" baseline="0">
              <a:solidFill>
                <a:schemeClr val="accent3">
                  <a:lumMod val="50000"/>
                </a:schemeClr>
              </a:solidFill>
              <a:latin typeface="Times New Roman" panose="02020603050405020304" pitchFamily="18" charset="0"/>
              <a:cs typeface="Times New Roman" panose="02020603050405020304" pitchFamily="18" charset="0"/>
            </a:rPr>
            <a:t> </a:t>
          </a:r>
          <a:endParaRPr lang="en-MY" sz="1100"/>
        </a:p>
      </xdr:txBody>
    </xdr:sp>
    <xdr:clientData/>
  </xdr:twoCellAnchor>
  <xdr:twoCellAnchor>
    <xdr:from>
      <xdr:col>9</xdr:col>
      <xdr:colOff>62666</xdr:colOff>
      <xdr:row>3</xdr:row>
      <xdr:rowOff>114299</xdr:rowOff>
    </xdr:from>
    <xdr:to>
      <xdr:col>11</xdr:col>
      <xdr:colOff>481765</xdr:colOff>
      <xdr:row>7</xdr:row>
      <xdr:rowOff>133350</xdr:rowOff>
    </xdr:to>
    <xdr:sp macro="" textlink="">
      <xdr:nvSpPr>
        <xdr:cNvPr id="55" name="Rectangle: Rounded Corners 54">
          <a:extLst>
            <a:ext uri="{FF2B5EF4-FFF2-40B4-BE49-F238E27FC236}">
              <a16:creationId xmlns:a16="http://schemas.microsoft.com/office/drawing/2014/main" id="{43BCC9C2-B325-9C3D-337B-5A8715BDC9C0}"/>
            </a:ext>
          </a:extLst>
        </xdr:cNvPr>
        <xdr:cNvSpPr/>
      </xdr:nvSpPr>
      <xdr:spPr>
        <a:xfrm>
          <a:off x="5647324" y="685799"/>
          <a:ext cx="1642309" cy="78105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12</xdr:col>
      <xdr:colOff>167942</xdr:colOff>
      <xdr:row>3</xdr:row>
      <xdr:rowOff>105275</xdr:rowOff>
    </xdr:from>
    <xdr:to>
      <xdr:col>14</xdr:col>
      <xdr:colOff>589046</xdr:colOff>
      <xdr:row>7</xdr:row>
      <xdr:rowOff>124326</xdr:rowOff>
    </xdr:to>
    <xdr:sp macro="" textlink="">
      <xdr:nvSpPr>
        <xdr:cNvPr id="56" name="Rectangle: Rounded Corners 55">
          <a:extLst>
            <a:ext uri="{FF2B5EF4-FFF2-40B4-BE49-F238E27FC236}">
              <a16:creationId xmlns:a16="http://schemas.microsoft.com/office/drawing/2014/main" id="{2911B8C6-87F1-1629-C231-5B8181D52815}"/>
            </a:ext>
          </a:extLst>
        </xdr:cNvPr>
        <xdr:cNvSpPr/>
      </xdr:nvSpPr>
      <xdr:spPr>
        <a:xfrm>
          <a:off x="7587416" y="676775"/>
          <a:ext cx="1644314" cy="78105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15</xdr:col>
      <xdr:colOff>321345</xdr:colOff>
      <xdr:row>3</xdr:row>
      <xdr:rowOff>104774</xdr:rowOff>
    </xdr:from>
    <xdr:to>
      <xdr:col>18</xdr:col>
      <xdr:colOff>130844</xdr:colOff>
      <xdr:row>7</xdr:row>
      <xdr:rowOff>123825</xdr:rowOff>
    </xdr:to>
    <xdr:sp macro="" textlink="">
      <xdr:nvSpPr>
        <xdr:cNvPr id="57" name="Rectangle: Rounded Corners 56">
          <a:extLst>
            <a:ext uri="{FF2B5EF4-FFF2-40B4-BE49-F238E27FC236}">
              <a16:creationId xmlns:a16="http://schemas.microsoft.com/office/drawing/2014/main" id="{8A8CD76A-0D87-2C53-BFBD-A486B70D1FDD}"/>
            </a:ext>
          </a:extLst>
        </xdr:cNvPr>
        <xdr:cNvSpPr/>
      </xdr:nvSpPr>
      <xdr:spPr>
        <a:xfrm>
          <a:off x="9575634" y="676274"/>
          <a:ext cx="1644315" cy="78105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18</xdr:col>
      <xdr:colOff>485776</xdr:colOff>
      <xdr:row>3</xdr:row>
      <xdr:rowOff>104774</xdr:rowOff>
    </xdr:from>
    <xdr:to>
      <xdr:col>21</xdr:col>
      <xdr:colOff>295275</xdr:colOff>
      <xdr:row>7</xdr:row>
      <xdr:rowOff>123825</xdr:rowOff>
    </xdr:to>
    <xdr:sp macro="" textlink="">
      <xdr:nvSpPr>
        <xdr:cNvPr id="58" name="Rectangle: Rounded Corners 57">
          <a:extLst>
            <a:ext uri="{FF2B5EF4-FFF2-40B4-BE49-F238E27FC236}">
              <a16:creationId xmlns:a16="http://schemas.microsoft.com/office/drawing/2014/main" id="{1156A01E-974A-B886-18E7-654DAB47D774}"/>
            </a:ext>
          </a:extLst>
        </xdr:cNvPr>
        <xdr:cNvSpPr/>
      </xdr:nvSpPr>
      <xdr:spPr>
        <a:xfrm>
          <a:off x="10963276" y="676274"/>
          <a:ext cx="1638299" cy="78105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4</xdr:col>
      <xdr:colOff>304435</xdr:colOff>
      <xdr:row>3</xdr:row>
      <xdr:rowOff>143669</xdr:rowOff>
    </xdr:from>
    <xdr:to>
      <xdr:col>5</xdr:col>
      <xdr:colOff>799735</xdr:colOff>
      <xdr:row>5</xdr:row>
      <xdr:rowOff>153194</xdr:rowOff>
    </xdr:to>
    <xdr:sp macro="" textlink="">
      <xdr:nvSpPr>
        <xdr:cNvPr id="59" name="TextBox 58">
          <a:extLst>
            <a:ext uri="{FF2B5EF4-FFF2-40B4-BE49-F238E27FC236}">
              <a16:creationId xmlns:a16="http://schemas.microsoft.com/office/drawing/2014/main" id="{39CD71BA-C1E8-702E-9A9A-4796EE265614}"/>
            </a:ext>
          </a:extLst>
        </xdr:cNvPr>
        <xdr:cNvSpPr txBox="1"/>
      </xdr:nvSpPr>
      <xdr:spPr>
        <a:xfrm>
          <a:off x="2022863" y="703385"/>
          <a:ext cx="1104114" cy="382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900" b="1">
              <a:solidFill>
                <a:schemeClr val="accent3">
                  <a:lumMod val="50000"/>
                </a:schemeClr>
              </a:solidFill>
              <a:latin typeface="Times New Roman" panose="02020603050405020304" pitchFamily="18" charset="0"/>
              <a:cs typeface="Times New Roman" panose="02020603050405020304" pitchFamily="18" charset="0"/>
            </a:rPr>
            <a:t>TOTAL</a:t>
          </a:r>
          <a:r>
            <a:rPr lang="en-MY" sz="900" b="1" baseline="0">
              <a:solidFill>
                <a:schemeClr val="accent3">
                  <a:lumMod val="50000"/>
                </a:schemeClr>
              </a:solidFill>
              <a:latin typeface="Times New Roman" panose="02020603050405020304" pitchFamily="18" charset="0"/>
              <a:cs typeface="Times New Roman" panose="02020603050405020304" pitchFamily="18" charset="0"/>
            </a:rPr>
            <a:t> SALES</a:t>
          </a:r>
          <a:endParaRPr lang="en-MY" sz="9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564229</xdr:colOff>
      <xdr:row>3</xdr:row>
      <xdr:rowOff>155575</xdr:rowOff>
    </xdr:from>
    <xdr:to>
      <xdr:col>8</xdr:col>
      <xdr:colOff>592805</xdr:colOff>
      <xdr:row>6</xdr:row>
      <xdr:rowOff>43259</xdr:rowOff>
    </xdr:to>
    <xdr:sp macro="" textlink="">
      <xdr:nvSpPr>
        <xdr:cNvPr id="60" name="TextBox 59">
          <a:extLst>
            <a:ext uri="{FF2B5EF4-FFF2-40B4-BE49-F238E27FC236}">
              <a16:creationId xmlns:a16="http://schemas.microsoft.com/office/drawing/2014/main" id="{FE30BC93-4338-5B70-40EA-76694CC348AA}"/>
            </a:ext>
          </a:extLst>
        </xdr:cNvPr>
        <xdr:cNvSpPr txBox="1"/>
      </xdr:nvSpPr>
      <xdr:spPr>
        <a:xfrm>
          <a:off x="3729307" y="721122"/>
          <a:ext cx="1606154" cy="45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900" b="1">
              <a:solidFill>
                <a:schemeClr val="accent3">
                  <a:lumMod val="50000"/>
                </a:schemeClr>
              </a:solidFill>
              <a:latin typeface="Times New Roman" panose="02020603050405020304" pitchFamily="18" charset="0"/>
              <a:cs typeface="Times New Roman" panose="02020603050405020304" pitchFamily="18" charset="0"/>
            </a:rPr>
            <a:t>TOTAL</a:t>
          </a:r>
          <a:r>
            <a:rPr lang="en-MY" sz="900" b="1" baseline="0">
              <a:solidFill>
                <a:schemeClr val="accent3">
                  <a:lumMod val="50000"/>
                </a:schemeClr>
              </a:solidFill>
              <a:latin typeface="Times New Roman" panose="02020603050405020304" pitchFamily="18" charset="0"/>
              <a:cs typeface="Times New Roman" panose="02020603050405020304" pitchFamily="18" charset="0"/>
            </a:rPr>
            <a:t> FOOD COST</a:t>
          </a:r>
          <a:endParaRPr lang="en-MY" sz="9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320841</xdr:colOff>
      <xdr:row>3</xdr:row>
      <xdr:rowOff>123825</xdr:rowOff>
    </xdr:from>
    <xdr:to>
      <xdr:col>11</xdr:col>
      <xdr:colOff>273217</xdr:colOff>
      <xdr:row>5</xdr:row>
      <xdr:rowOff>142875</xdr:rowOff>
    </xdr:to>
    <xdr:sp macro="" textlink="">
      <xdr:nvSpPr>
        <xdr:cNvPr id="65" name="TextBox 64">
          <a:extLst>
            <a:ext uri="{FF2B5EF4-FFF2-40B4-BE49-F238E27FC236}">
              <a16:creationId xmlns:a16="http://schemas.microsoft.com/office/drawing/2014/main" id="{ECE4D22B-AA78-3318-B8EE-058BFECB0EFD}"/>
            </a:ext>
          </a:extLst>
        </xdr:cNvPr>
        <xdr:cNvSpPr txBox="1"/>
      </xdr:nvSpPr>
      <xdr:spPr>
        <a:xfrm>
          <a:off x="5905499" y="695325"/>
          <a:ext cx="1175586"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900" b="1">
              <a:solidFill>
                <a:schemeClr val="accent3">
                  <a:lumMod val="50000"/>
                </a:schemeClr>
              </a:solidFill>
              <a:latin typeface="Times New Roman" panose="02020603050405020304" pitchFamily="18" charset="0"/>
              <a:cs typeface="Times New Roman" panose="02020603050405020304" pitchFamily="18" charset="0"/>
            </a:rPr>
            <a:t>TOTAL</a:t>
          </a:r>
          <a:r>
            <a:rPr lang="en-MY" sz="900" b="1" baseline="0">
              <a:solidFill>
                <a:schemeClr val="accent3">
                  <a:lumMod val="50000"/>
                </a:schemeClr>
              </a:solidFill>
              <a:latin typeface="Times New Roman" panose="02020603050405020304" pitchFamily="18" charset="0"/>
              <a:cs typeface="Times New Roman" panose="02020603050405020304" pitchFamily="18" charset="0"/>
            </a:rPr>
            <a:t> PURCHASES</a:t>
          </a:r>
          <a:endParaRPr lang="en-MY" sz="9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396833</xdr:colOff>
      <xdr:row>3</xdr:row>
      <xdr:rowOff>94868</xdr:rowOff>
    </xdr:from>
    <xdr:to>
      <xdr:col>14</xdr:col>
      <xdr:colOff>349209</xdr:colOff>
      <xdr:row>5</xdr:row>
      <xdr:rowOff>176753</xdr:rowOff>
    </xdr:to>
    <xdr:sp macro="" textlink="">
      <xdr:nvSpPr>
        <xdr:cNvPr id="68" name="TextBox 67">
          <a:extLst>
            <a:ext uri="{FF2B5EF4-FFF2-40B4-BE49-F238E27FC236}">
              <a16:creationId xmlns:a16="http://schemas.microsoft.com/office/drawing/2014/main" id="{A1803520-0B9D-F810-3591-EF7ED5EDEDCA}"/>
            </a:ext>
          </a:extLst>
        </xdr:cNvPr>
        <xdr:cNvSpPr txBox="1"/>
      </xdr:nvSpPr>
      <xdr:spPr>
        <a:xfrm>
          <a:off x="7781163" y="654584"/>
          <a:ext cx="1170005" cy="455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900" b="1">
              <a:solidFill>
                <a:schemeClr val="accent3">
                  <a:lumMod val="50000"/>
                </a:schemeClr>
              </a:solidFill>
              <a:latin typeface="Times New Roman" panose="02020603050405020304" pitchFamily="18" charset="0"/>
              <a:cs typeface="Times New Roman" panose="02020603050405020304" pitchFamily="18" charset="0"/>
            </a:rPr>
            <a:t>STOCK</a:t>
          </a:r>
          <a:r>
            <a:rPr lang="en-MY" sz="900" b="1" baseline="0">
              <a:solidFill>
                <a:schemeClr val="accent3">
                  <a:lumMod val="50000"/>
                </a:schemeClr>
              </a:solidFill>
              <a:latin typeface="Times New Roman" panose="02020603050405020304" pitchFamily="18" charset="0"/>
              <a:cs typeface="Times New Roman" panose="02020603050405020304" pitchFamily="18" charset="0"/>
            </a:rPr>
            <a:t> VARIANCE</a:t>
          </a:r>
          <a:endParaRPr lang="en-MY" sz="9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559969</xdr:colOff>
      <xdr:row>4</xdr:row>
      <xdr:rowOff>0</xdr:rowOff>
    </xdr:from>
    <xdr:to>
      <xdr:col>17</xdr:col>
      <xdr:colOff>512345</xdr:colOff>
      <xdr:row>5</xdr:row>
      <xdr:rowOff>85725</xdr:rowOff>
    </xdr:to>
    <xdr:sp macro="" textlink="">
      <xdr:nvSpPr>
        <xdr:cNvPr id="69" name="TextBox 68">
          <a:extLst>
            <a:ext uri="{FF2B5EF4-FFF2-40B4-BE49-F238E27FC236}">
              <a16:creationId xmlns:a16="http://schemas.microsoft.com/office/drawing/2014/main" id="{131DA132-F7F3-2F83-C0D0-B74346270B06}"/>
            </a:ext>
          </a:extLst>
        </xdr:cNvPr>
        <xdr:cNvSpPr txBox="1"/>
      </xdr:nvSpPr>
      <xdr:spPr>
        <a:xfrm>
          <a:off x="9814258" y="762000"/>
          <a:ext cx="1175587"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900" b="1">
              <a:solidFill>
                <a:schemeClr val="accent3">
                  <a:lumMod val="50000"/>
                </a:schemeClr>
              </a:solidFill>
              <a:latin typeface="Times New Roman" panose="02020603050405020304" pitchFamily="18" charset="0"/>
              <a:cs typeface="Times New Roman" panose="02020603050405020304" pitchFamily="18" charset="0"/>
            </a:rPr>
            <a:t>WASTAGE</a:t>
          </a:r>
        </a:p>
      </xdr:txBody>
    </xdr:sp>
    <xdr:clientData/>
  </xdr:twoCellAnchor>
  <xdr:twoCellAnchor>
    <xdr:from>
      <xdr:col>19</xdr:col>
      <xdr:colOff>204787</xdr:colOff>
      <xdr:row>3</xdr:row>
      <xdr:rowOff>104775</xdr:rowOff>
    </xdr:from>
    <xdr:to>
      <xdr:col>21</xdr:col>
      <xdr:colOff>157163</xdr:colOff>
      <xdr:row>5</xdr:row>
      <xdr:rowOff>133350</xdr:rowOff>
    </xdr:to>
    <xdr:sp macro="" textlink="">
      <xdr:nvSpPr>
        <xdr:cNvPr id="70" name="TextBox 69">
          <a:extLst>
            <a:ext uri="{FF2B5EF4-FFF2-40B4-BE49-F238E27FC236}">
              <a16:creationId xmlns:a16="http://schemas.microsoft.com/office/drawing/2014/main" id="{5C3805CA-85A7-5157-34C2-1EA45455D189}"/>
            </a:ext>
          </a:extLst>
        </xdr:cNvPr>
        <xdr:cNvSpPr txBox="1"/>
      </xdr:nvSpPr>
      <xdr:spPr>
        <a:xfrm>
          <a:off x="11823303" y="670322"/>
          <a:ext cx="1162844" cy="405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800" b="1">
              <a:solidFill>
                <a:schemeClr val="accent3">
                  <a:lumMod val="50000"/>
                </a:schemeClr>
              </a:solidFill>
              <a:latin typeface="Times New Roman" panose="02020603050405020304" pitchFamily="18" charset="0"/>
              <a:cs typeface="Times New Roman" panose="02020603050405020304" pitchFamily="18" charset="0"/>
            </a:rPr>
            <a:t>TOTAL</a:t>
          </a:r>
          <a:r>
            <a:rPr lang="en-MY" sz="800" b="1" baseline="0">
              <a:solidFill>
                <a:schemeClr val="accent3">
                  <a:lumMod val="50000"/>
                </a:schemeClr>
              </a:solidFill>
              <a:latin typeface="Times New Roman" panose="02020603050405020304" pitchFamily="18" charset="0"/>
              <a:cs typeface="Times New Roman" panose="02020603050405020304" pitchFamily="18" charset="0"/>
            </a:rPr>
            <a:t> TRANSACTIONS</a:t>
          </a:r>
          <a:endParaRPr lang="en-MY" sz="8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170583</xdr:colOff>
      <xdr:row>5</xdr:row>
      <xdr:rowOff>19050</xdr:rowOff>
    </xdr:from>
    <xdr:to>
      <xdr:col>6</xdr:col>
      <xdr:colOff>136848</xdr:colOff>
      <xdr:row>6</xdr:row>
      <xdr:rowOff>180975</xdr:rowOff>
    </xdr:to>
    <xdr:sp macro="" textlink="'Pivot Table'!B4">
      <xdr:nvSpPr>
        <xdr:cNvPr id="71" name="TextBox 70">
          <a:extLst>
            <a:ext uri="{FF2B5EF4-FFF2-40B4-BE49-F238E27FC236}">
              <a16:creationId xmlns:a16="http://schemas.microsoft.com/office/drawing/2014/main" id="{6A6B43C4-814D-2AF5-0EAF-C7456AD366F4}"/>
            </a:ext>
          </a:extLst>
        </xdr:cNvPr>
        <xdr:cNvSpPr txBox="1"/>
      </xdr:nvSpPr>
      <xdr:spPr>
        <a:xfrm>
          <a:off x="1889011" y="951911"/>
          <a:ext cx="1419564" cy="348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2339B2-7247-4AB3-BFC8-152BC295A2D5}" type="TxLink">
            <a:rPr lang="en-US" sz="1400" b="1">
              <a:solidFill>
                <a:srgbClr val="588824"/>
              </a:solidFill>
              <a:latin typeface="Times New Roman" panose="02020603050405020304" pitchFamily="18" charset="0"/>
              <a:ea typeface="+mn-ea"/>
              <a:cs typeface="Times New Roman" panose="02020603050405020304" pitchFamily="18" charset="0"/>
            </a:rPr>
            <a:pPr marL="0" indent="0" algn="ctr"/>
            <a:t>RM2,652,380</a:t>
          </a:fld>
          <a:endParaRPr lang="en-MY" sz="1400" b="1">
            <a:solidFill>
              <a:srgbClr val="58882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6</xdr:col>
      <xdr:colOff>526215</xdr:colOff>
      <xdr:row>5</xdr:row>
      <xdr:rowOff>76200</xdr:rowOff>
    </xdr:from>
    <xdr:to>
      <xdr:col>8</xdr:col>
      <xdr:colOff>621465</xdr:colOff>
      <xdr:row>6</xdr:row>
      <xdr:rowOff>161925</xdr:rowOff>
    </xdr:to>
    <xdr:sp macro="" textlink="'Pivot Table'!B7">
      <xdr:nvSpPr>
        <xdr:cNvPr id="72" name="TextBox 71">
          <a:extLst>
            <a:ext uri="{FF2B5EF4-FFF2-40B4-BE49-F238E27FC236}">
              <a16:creationId xmlns:a16="http://schemas.microsoft.com/office/drawing/2014/main" id="{EFB13DA4-C4C6-4897-8BF5-E5EC9271AB2F}"/>
            </a:ext>
          </a:extLst>
        </xdr:cNvPr>
        <xdr:cNvSpPr txBox="1"/>
      </xdr:nvSpPr>
      <xdr:spPr>
        <a:xfrm>
          <a:off x="3691293" y="1018778"/>
          <a:ext cx="1672828" cy="274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21B1ECF-0948-4691-8AB2-9D85254852F5}" type="TxLink">
            <a:rPr lang="en-US" sz="1400" b="1">
              <a:solidFill>
                <a:srgbClr val="588824"/>
              </a:solidFill>
              <a:latin typeface="Times New Roman" panose="02020603050405020304" pitchFamily="18" charset="0"/>
              <a:ea typeface="+mn-ea"/>
              <a:cs typeface="Times New Roman" panose="02020603050405020304" pitchFamily="18" charset="0"/>
            </a:rPr>
            <a:pPr marL="0" indent="0" algn="ctr"/>
            <a:t>RM836,600</a:t>
          </a:fld>
          <a:endParaRPr lang="en-MY" sz="1400" b="1">
            <a:solidFill>
              <a:srgbClr val="58882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9</xdr:col>
      <xdr:colOff>254166</xdr:colOff>
      <xdr:row>5</xdr:row>
      <xdr:rowOff>95250</xdr:rowOff>
    </xdr:from>
    <xdr:to>
      <xdr:col>11</xdr:col>
      <xdr:colOff>320842</xdr:colOff>
      <xdr:row>6</xdr:row>
      <xdr:rowOff>180975</xdr:rowOff>
    </xdr:to>
    <xdr:sp macro="" textlink="'Pivot Table'!B10">
      <xdr:nvSpPr>
        <xdr:cNvPr id="73" name="TextBox 72">
          <a:extLst>
            <a:ext uri="{FF2B5EF4-FFF2-40B4-BE49-F238E27FC236}">
              <a16:creationId xmlns:a16="http://schemas.microsoft.com/office/drawing/2014/main" id="{1EEBC235-7196-121A-0518-D84CABC17C5F}"/>
            </a:ext>
          </a:extLst>
        </xdr:cNvPr>
        <xdr:cNvSpPr txBox="1"/>
      </xdr:nvSpPr>
      <xdr:spPr>
        <a:xfrm>
          <a:off x="5838824" y="1047750"/>
          <a:ext cx="128988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1D1AC9-8FD3-4404-8B88-6092516EABBE}" type="TxLink">
            <a:rPr lang="en-US" sz="1400" b="1">
              <a:solidFill>
                <a:srgbClr val="588824"/>
              </a:solidFill>
              <a:latin typeface="Times New Roman" panose="02020603050405020304" pitchFamily="18" charset="0"/>
              <a:ea typeface="+mn-ea"/>
              <a:cs typeface="Times New Roman" panose="02020603050405020304" pitchFamily="18" charset="0"/>
            </a:rPr>
            <a:pPr marL="0" indent="0" algn="ctr"/>
            <a:t>RM857,500</a:t>
          </a:fld>
          <a:endParaRPr lang="en-MY" sz="1400" b="1">
            <a:solidFill>
              <a:srgbClr val="58882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377991</xdr:colOff>
      <xdr:row>5</xdr:row>
      <xdr:rowOff>76701</xdr:rowOff>
    </xdr:from>
    <xdr:to>
      <xdr:col>14</xdr:col>
      <xdr:colOff>330367</xdr:colOff>
      <xdr:row>6</xdr:row>
      <xdr:rowOff>162426</xdr:rowOff>
    </xdr:to>
    <xdr:sp macro="" textlink="'Pivot Table'!B13">
      <xdr:nvSpPr>
        <xdr:cNvPr id="74" name="TextBox 73">
          <a:extLst>
            <a:ext uri="{FF2B5EF4-FFF2-40B4-BE49-F238E27FC236}">
              <a16:creationId xmlns:a16="http://schemas.microsoft.com/office/drawing/2014/main" id="{46175FB0-4A22-791C-667F-5DF1845CD71B}"/>
            </a:ext>
          </a:extLst>
        </xdr:cNvPr>
        <xdr:cNvSpPr txBox="1"/>
      </xdr:nvSpPr>
      <xdr:spPr>
        <a:xfrm>
          <a:off x="7797465" y="1029201"/>
          <a:ext cx="117558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4AD122A-392E-4E70-8EE9-DBDE5627DD2B}" type="TxLink">
            <a:rPr lang="en-US" sz="1400" b="1">
              <a:solidFill>
                <a:srgbClr val="C00000"/>
              </a:solidFill>
              <a:latin typeface="Times New Roman" panose="02020603050405020304" pitchFamily="18" charset="0"/>
              <a:ea typeface="+mn-ea"/>
              <a:cs typeface="Times New Roman" panose="02020603050405020304" pitchFamily="18" charset="0"/>
            </a:rPr>
            <a:pPr marL="0" indent="0" algn="ctr"/>
            <a:t>-RM7,375</a:t>
          </a:fld>
          <a:endParaRPr lang="en-MY" sz="1400" b="1">
            <a:solidFill>
              <a:srgbClr val="C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15</xdr:col>
      <xdr:colOff>417597</xdr:colOff>
      <xdr:row>5</xdr:row>
      <xdr:rowOff>47124</xdr:rowOff>
    </xdr:from>
    <xdr:to>
      <xdr:col>18</xdr:col>
      <xdr:colOff>112797</xdr:colOff>
      <xdr:row>6</xdr:row>
      <xdr:rowOff>132849</xdr:rowOff>
    </xdr:to>
    <xdr:sp macro="" textlink="'Pivot Table'!B16">
      <xdr:nvSpPr>
        <xdr:cNvPr id="75" name="TextBox 74">
          <a:extLst>
            <a:ext uri="{FF2B5EF4-FFF2-40B4-BE49-F238E27FC236}">
              <a16:creationId xmlns:a16="http://schemas.microsoft.com/office/drawing/2014/main" id="{868025C7-CE0E-15B9-0F26-021E34F5E3BD}"/>
            </a:ext>
          </a:extLst>
        </xdr:cNvPr>
        <xdr:cNvSpPr txBox="1"/>
      </xdr:nvSpPr>
      <xdr:spPr>
        <a:xfrm>
          <a:off x="9671886" y="999624"/>
          <a:ext cx="153001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ADE19D-A388-4AC7-86DD-7C0C42207780}" type="TxLink">
            <a:rPr lang="en-US" sz="1400" b="1">
              <a:solidFill>
                <a:srgbClr val="588824"/>
              </a:solidFill>
              <a:latin typeface="Times New Roman" panose="02020603050405020304" pitchFamily="18" charset="0"/>
              <a:ea typeface="+mn-ea"/>
              <a:cs typeface="Times New Roman" panose="02020603050405020304" pitchFamily="18" charset="0"/>
            </a:rPr>
            <a:pPr marL="0" indent="0" algn="ctr"/>
            <a:t>RM43,431</a:t>
          </a:fld>
          <a:endParaRPr lang="en-MY" sz="1400" b="1">
            <a:solidFill>
              <a:srgbClr val="58882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19</xdr:col>
      <xdr:colOff>155573</xdr:colOff>
      <xdr:row>5</xdr:row>
      <xdr:rowOff>0</xdr:rowOff>
    </xdr:from>
    <xdr:to>
      <xdr:col>21</xdr:col>
      <xdr:colOff>231774</xdr:colOff>
      <xdr:row>7</xdr:row>
      <xdr:rowOff>28575</xdr:rowOff>
    </xdr:to>
    <xdr:sp macro="" textlink="'Pivot Table'!B19">
      <xdr:nvSpPr>
        <xdr:cNvPr id="76" name="TextBox 75">
          <a:extLst>
            <a:ext uri="{FF2B5EF4-FFF2-40B4-BE49-F238E27FC236}">
              <a16:creationId xmlns:a16="http://schemas.microsoft.com/office/drawing/2014/main" id="{985C4C7F-C6D9-9977-B7D7-251CC534B03D}"/>
            </a:ext>
          </a:extLst>
        </xdr:cNvPr>
        <xdr:cNvSpPr txBox="1"/>
      </xdr:nvSpPr>
      <xdr:spPr>
        <a:xfrm>
          <a:off x="11774089" y="942578"/>
          <a:ext cx="1286669" cy="405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FA6F37-FAAD-4491-AB05-D381E308B9B7}" type="TxLink">
            <a:rPr lang="en-US" sz="1400" b="1">
              <a:solidFill>
                <a:srgbClr val="588824"/>
              </a:solidFill>
              <a:latin typeface="Times New Roman" panose="02020603050405020304" pitchFamily="18" charset="0"/>
              <a:ea typeface="+mn-ea"/>
              <a:cs typeface="Times New Roman" panose="02020603050405020304" pitchFamily="18" charset="0"/>
            </a:rPr>
            <a:pPr marL="0" indent="0" algn="ctr"/>
            <a:t>RM224,250</a:t>
          </a:fld>
          <a:endParaRPr lang="en-MY" sz="1400" b="1">
            <a:solidFill>
              <a:srgbClr val="588824"/>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xdr:col>
      <xdr:colOff>161926</xdr:colOff>
      <xdr:row>8</xdr:row>
      <xdr:rowOff>47625</xdr:rowOff>
    </xdr:from>
    <xdr:to>
      <xdr:col>10</xdr:col>
      <xdr:colOff>428625</xdr:colOff>
      <xdr:row>17</xdr:row>
      <xdr:rowOff>0</xdr:rowOff>
    </xdr:to>
    <xdr:graphicFrame macro="">
      <xdr:nvGraphicFramePr>
        <xdr:cNvPr id="77" name="Chart 76">
          <a:extLst>
            <a:ext uri="{FF2B5EF4-FFF2-40B4-BE49-F238E27FC236}">
              <a16:creationId xmlns:a16="http://schemas.microsoft.com/office/drawing/2014/main" id="{4BCC213D-B8D8-4AC9-AFDC-979D7DEAF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485775</xdr:colOff>
      <xdr:row>8</xdr:row>
      <xdr:rowOff>104775</xdr:rowOff>
    </xdr:from>
    <xdr:to>
      <xdr:col>21</xdr:col>
      <xdr:colOff>290763</xdr:colOff>
      <xdr:row>24</xdr:row>
      <xdr:rowOff>114300</xdr:rowOff>
    </xdr:to>
    <xdr:graphicFrame macro="">
      <xdr:nvGraphicFramePr>
        <xdr:cNvPr id="78" name="Chart 77">
          <a:extLst>
            <a:ext uri="{FF2B5EF4-FFF2-40B4-BE49-F238E27FC236}">
              <a16:creationId xmlns:a16="http://schemas.microsoft.com/office/drawing/2014/main" id="{6F80A068-99F5-4E98-BE55-E10E52B24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552449</xdr:colOff>
      <xdr:row>8</xdr:row>
      <xdr:rowOff>19050</xdr:rowOff>
    </xdr:from>
    <xdr:to>
      <xdr:col>15</xdr:col>
      <xdr:colOff>304800</xdr:colOff>
      <xdr:row>17</xdr:row>
      <xdr:rowOff>38100</xdr:rowOff>
    </xdr:to>
    <xdr:graphicFrame macro="">
      <xdr:nvGraphicFramePr>
        <xdr:cNvPr id="79" name="Chart 78">
          <a:extLst>
            <a:ext uri="{FF2B5EF4-FFF2-40B4-BE49-F238E27FC236}">
              <a16:creationId xmlns:a16="http://schemas.microsoft.com/office/drawing/2014/main" id="{C71880BA-2161-4BC3-B39A-AE41440E0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66675</xdr:colOff>
      <xdr:row>16</xdr:row>
      <xdr:rowOff>189939</xdr:rowOff>
    </xdr:from>
    <xdr:to>
      <xdr:col>15</xdr:col>
      <xdr:colOff>295275</xdr:colOff>
      <xdr:row>25</xdr:row>
      <xdr:rowOff>34458</xdr:rowOff>
    </xdr:to>
    <xdr:graphicFrame macro="">
      <xdr:nvGraphicFramePr>
        <xdr:cNvPr id="80" name="Chart 79">
          <a:extLst>
            <a:ext uri="{FF2B5EF4-FFF2-40B4-BE49-F238E27FC236}">
              <a16:creationId xmlns:a16="http://schemas.microsoft.com/office/drawing/2014/main" id="{79D02AE3-49F4-4F7C-AB43-205ACF47F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180976</xdr:colOff>
      <xdr:row>1</xdr:row>
      <xdr:rowOff>85725</xdr:rowOff>
    </xdr:from>
    <xdr:to>
      <xdr:col>2</xdr:col>
      <xdr:colOff>161925</xdr:colOff>
      <xdr:row>7</xdr:row>
      <xdr:rowOff>95250</xdr:rowOff>
    </xdr:to>
    <mc:AlternateContent xmlns:mc="http://schemas.openxmlformats.org/markup-compatibility/2006" xmlns:a14="http://schemas.microsoft.com/office/drawing/2010/main">
      <mc:Choice Requires="a14">
        <xdr:graphicFrame macro="">
          <xdr:nvGraphicFramePr>
            <xdr:cNvPr id="81" name="Month">
              <a:extLst>
                <a:ext uri="{FF2B5EF4-FFF2-40B4-BE49-F238E27FC236}">
                  <a16:creationId xmlns:a16="http://schemas.microsoft.com/office/drawing/2014/main" id="{48B11237-1F16-4428-94F7-A2531E757E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0976" y="276225"/>
              <a:ext cx="1194133" cy="11525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457200</xdr:colOff>
      <xdr:row>0</xdr:row>
      <xdr:rowOff>114300</xdr:rowOff>
    </xdr:from>
    <xdr:to>
      <xdr:col>19</xdr:col>
      <xdr:colOff>381000</xdr:colOff>
      <xdr:row>3</xdr:row>
      <xdr:rowOff>38099</xdr:rowOff>
    </xdr:to>
    <xdr:sp macro="" textlink="">
      <xdr:nvSpPr>
        <xdr:cNvPr id="85" name="TextBox 84">
          <a:extLst>
            <a:ext uri="{FF2B5EF4-FFF2-40B4-BE49-F238E27FC236}">
              <a16:creationId xmlns:a16="http://schemas.microsoft.com/office/drawing/2014/main" id="{92AEF7CA-14A1-D1A5-18E7-530FFEE07C8B}"/>
            </a:ext>
          </a:extLst>
        </xdr:cNvPr>
        <xdr:cNvSpPr txBox="1"/>
      </xdr:nvSpPr>
      <xdr:spPr>
        <a:xfrm>
          <a:off x="9915525" y="114300"/>
          <a:ext cx="1752600" cy="49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MY" sz="1050" b="1" i="1">
              <a:solidFill>
                <a:schemeClr val="accent3">
                  <a:lumMod val="50000"/>
                </a:schemeClr>
              </a:solidFill>
              <a:latin typeface="Times New Roman" panose="02020603050405020304" pitchFamily="18" charset="0"/>
              <a:cs typeface="Times New Roman" panose="02020603050405020304" pitchFamily="18" charset="0"/>
            </a:rPr>
            <a:t>Prepared By: Nur</a:t>
          </a:r>
          <a:r>
            <a:rPr lang="en-MY" sz="1050" b="1" i="1" baseline="0">
              <a:solidFill>
                <a:schemeClr val="accent3">
                  <a:lumMod val="50000"/>
                </a:schemeClr>
              </a:solidFill>
              <a:latin typeface="Times New Roman" panose="02020603050405020304" pitchFamily="18" charset="0"/>
              <a:cs typeface="Times New Roman" panose="02020603050405020304" pitchFamily="18" charset="0"/>
            </a:rPr>
            <a:t> Farisha</a:t>
          </a:r>
        </a:p>
        <a:p>
          <a:pPr algn="ctr"/>
          <a:r>
            <a:rPr lang="en-MY" sz="1050" b="1" i="1" baseline="0">
              <a:solidFill>
                <a:schemeClr val="accent3">
                  <a:lumMod val="50000"/>
                </a:schemeClr>
              </a:solidFill>
              <a:latin typeface="Times New Roman" panose="02020603050405020304" pitchFamily="18" charset="0"/>
              <a:cs typeface="Times New Roman" panose="02020603050405020304" pitchFamily="18" charset="0"/>
            </a:rPr>
            <a:t>Date: 11/10/2026</a:t>
          </a:r>
          <a:endParaRPr lang="en-MY" sz="1050" b="1" i="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295275</xdr:colOff>
      <xdr:row>30</xdr:row>
      <xdr:rowOff>133350</xdr:rowOff>
    </xdr:from>
    <xdr:to>
      <xdr:col>9</xdr:col>
      <xdr:colOff>66675</xdr:colOff>
      <xdr:row>32</xdr:row>
      <xdr:rowOff>9525</xdr:rowOff>
    </xdr:to>
    <xdr:sp macro="" textlink="">
      <xdr:nvSpPr>
        <xdr:cNvPr id="106" name="Rectangle: Rounded Corners 105">
          <a:extLst>
            <a:ext uri="{FF2B5EF4-FFF2-40B4-BE49-F238E27FC236}">
              <a16:creationId xmlns:a16="http://schemas.microsoft.com/office/drawing/2014/main" id="{A561FEB4-A0E8-A6FD-AC96-20F808EE38CD}"/>
            </a:ext>
          </a:extLst>
        </xdr:cNvPr>
        <xdr:cNvSpPr/>
      </xdr:nvSpPr>
      <xdr:spPr>
        <a:xfrm>
          <a:off x="4676775" y="5848350"/>
          <a:ext cx="381000" cy="257175"/>
        </a:xfrm>
        <a:prstGeom prst="roundRect">
          <a:avLst>
            <a:gd name="adj" fmla="val 31482"/>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3</xdr:col>
      <xdr:colOff>96322</xdr:colOff>
      <xdr:row>18</xdr:row>
      <xdr:rowOff>160534</xdr:rowOff>
    </xdr:from>
    <xdr:to>
      <xdr:col>9</xdr:col>
      <xdr:colOff>128427</xdr:colOff>
      <xdr:row>25</xdr:row>
      <xdr:rowOff>149832</xdr:rowOff>
    </xdr:to>
    <xdr:sp macro="" textlink="">
      <xdr:nvSpPr>
        <xdr:cNvPr id="107" name="Rectangle: Rounded Corners 106">
          <a:extLst>
            <a:ext uri="{FF2B5EF4-FFF2-40B4-BE49-F238E27FC236}">
              <a16:creationId xmlns:a16="http://schemas.microsoft.com/office/drawing/2014/main" id="{55781F33-C537-3B2D-104F-DB8F535B759E}"/>
            </a:ext>
          </a:extLst>
        </xdr:cNvPr>
        <xdr:cNvSpPr/>
      </xdr:nvSpPr>
      <xdr:spPr>
        <a:xfrm>
          <a:off x="1632094" y="3628062"/>
          <a:ext cx="4072204" cy="1337781"/>
        </a:xfrm>
        <a:prstGeom prst="roundRect">
          <a:avLst/>
        </a:prstGeom>
        <a:noFill/>
        <a:ln w="6350">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10</xdr:col>
      <xdr:colOff>495299</xdr:colOff>
      <xdr:row>8</xdr:row>
      <xdr:rowOff>19050</xdr:rowOff>
    </xdr:from>
    <xdr:to>
      <xdr:col>15</xdr:col>
      <xdr:colOff>285750</xdr:colOff>
      <xdr:row>16</xdr:row>
      <xdr:rowOff>133350</xdr:rowOff>
    </xdr:to>
    <xdr:sp macro="" textlink="">
      <xdr:nvSpPr>
        <xdr:cNvPr id="108" name="Rectangle: Rounded Corners 107">
          <a:extLst>
            <a:ext uri="{FF2B5EF4-FFF2-40B4-BE49-F238E27FC236}">
              <a16:creationId xmlns:a16="http://schemas.microsoft.com/office/drawing/2014/main" id="{DE1567FE-54CC-9A4F-FC5A-5B78AEFC55F0}"/>
            </a:ext>
          </a:extLst>
        </xdr:cNvPr>
        <xdr:cNvSpPr/>
      </xdr:nvSpPr>
      <xdr:spPr>
        <a:xfrm>
          <a:off x="6095999" y="1543050"/>
          <a:ext cx="2838451" cy="1638300"/>
        </a:xfrm>
        <a:prstGeom prst="roundRect">
          <a:avLst/>
        </a:prstGeom>
        <a:noFill/>
        <a:ln w="6350">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120433</xdr:colOff>
      <xdr:row>18</xdr:row>
      <xdr:rowOff>66674</xdr:rowOff>
    </xdr:from>
    <xdr:to>
      <xdr:col>2</xdr:col>
      <xdr:colOff>190500</xdr:colOff>
      <xdr:row>31</xdr:row>
      <xdr:rowOff>50633</xdr:rowOff>
    </xdr:to>
    <xdr:sp macro="" textlink="">
      <xdr:nvSpPr>
        <xdr:cNvPr id="110" name="Rectangle: Rounded Corners 109">
          <a:extLst>
            <a:ext uri="{FF2B5EF4-FFF2-40B4-BE49-F238E27FC236}">
              <a16:creationId xmlns:a16="http://schemas.microsoft.com/office/drawing/2014/main" id="{39B4D9EB-CF14-49A6-1A51-2D49E2631352}"/>
            </a:ext>
          </a:extLst>
        </xdr:cNvPr>
        <xdr:cNvSpPr/>
      </xdr:nvSpPr>
      <xdr:spPr>
        <a:xfrm>
          <a:off x="120433" y="3495674"/>
          <a:ext cx="1283251" cy="2460459"/>
        </a:xfrm>
        <a:prstGeom prst="roundRect">
          <a:avLst>
            <a:gd name="adj" fmla="val 74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294272</xdr:colOff>
      <xdr:row>18</xdr:row>
      <xdr:rowOff>157914</xdr:rowOff>
    </xdr:from>
    <xdr:to>
      <xdr:col>2</xdr:col>
      <xdr:colOff>56147</xdr:colOff>
      <xdr:row>20</xdr:row>
      <xdr:rowOff>62664</xdr:rowOff>
    </xdr:to>
    <xdr:sp macro="" textlink="">
      <xdr:nvSpPr>
        <xdr:cNvPr id="111" name="TextBox 110">
          <a:extLst>
            <a:ext uri="{FF2B5EF4-FFF2-40B4-BE49-F238E27FC236}">
              <a16:creationId xmlns:a16="http://schemas.microsoft.com/office/drawing/2014/main" id="{5A640B8B-81DD-9DFB-E37E-7752B6DC7743}"/>
            </a:ext>
          </a:extLst>
        </xdr:cNvPr>
        <xdr:cNvSpPr txBox="1"/>
      </xdr:nvSpPr>
      <xdr:spPr>
        <a:xfrm>
          <a:off x="294272" y="3586914"/>
          <a:ext cx="975059" cy="285750"/>
        </a:xfrm>
        <a:prstGeom prst="rect">
          <a:avLst/>
        </a:prstGeom>
        <a:solidFill>
          <a:srgbClr val="C898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MY" sz="900" b="1">
              <a:solidFill>
                <a:schemeClr val="bg1"/>
              </a:solidFill>
              <a:latin typeface="Times New Roman" panose="02020603050405020304" pitchFamily="18" charset="0"/>
              <a:ea typeface="+mn-ea"/>
              <a:cs typeface="Times New Roman" panose="02020603050405020304" pitchFamily="18" charset="0"/>
            </a:rPr>
            <a:t>Key </a:t>
          </a:r>
          <a:r>
            <a:rPr lang="en-MY" sz="1050" b="1">
              <a:solidFill>
                <a:schemeClr val="bg1"/>
              </a:solidFill>
              <a:latin typeface="Times New Roman" panose="02020603050405020304" pitchFamily="18" charset="0"/>
              <a:ea typeface="+mn-ea"/>
              <a:cs typeface="Times New Roman" panose="02020603050405020304" pitchFamily="18" charset="0"/>
            </a:rPr>
            <a:t>Insights</a:t>
          </a:r>
          <a:endParaRPr lang="en-MY" sz="900" b="1">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8</xdr:col>
      <xdr:colOff>56148</xdr:colOff>
      <xdr:row>26</xdr:row>
      <xdr:rowOff>50346</xdr:rowOff>
    </xdr:from>
    <xdr:to>
      <xdr:col>12</xdr:col>
      <xdr:colOff>56148</xdr:colOff>
      <xdr:row>31</xdr:row>
      <xdr:rowOff>29459</xdr:rowOff>
    </xdr:to>
    <xdr:sp macro="" textlink="">
      <xdr:nvSpPr>
        <xdr:cNvPr id="113" name="Rectangle: Rounded Corners 112">
          <a:extLst>
            <a:ext uri="{FF2B5EF4-FFF2-40B4-BE49-F238E27FC236}">
              <a16:creationId xmlns:a16="http://schemas.microsoft.com/office/drawing/2014/main" id="{81501B05-7E6E-31E0-C498-22A16A6D7DDA}"/>
            </a:ext>
          </a:extLst>
        </xdr:cNvPr>
        <xdr:cNvSpPr/>
      </xdr:nvSpPr>
      <xdr:spPr>
        <a:xfrm>
          <a:off x="4799009" y="4901222"/>
          <a:ext cx="2641469" cy="911974"/>
        </a:xfrm>
        <a:prstGeom prst="roundRect">
          <a:avLst>
            <a:gd name="adj" fmla="val 15420"/>
          </a:avLst>
        </a:prstGeom>
        <a:solidFill>
          <a:schemeClr val="accent2">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12</xdr:col>
      <xdr:colOff>155511</xdr:colOff>
      <xdr:row>26</xdr:row>
      <xdr:rowOff>0</xdr:rowOff>
    </xdr:from>
    <xdr:to>
      <xdr:col>21</xdr:col>
      <xdr:colOff>314324</xdr:colOff>
      <xdr:row>31</xdr:row>
      <xdr:rowOff>70185</xdr:rowOff>
    </xdr:to>
    <xdr:sp macro="" textlink="">
      <xdr:nvSpPr>
        <xdr:cNvPr id="114" name="Rectangle: Rounded Corners 113">
          <a:extLst>
            <a:ext uri="{FF2B5EF4-FFF2-40B4-BE49-F238E27FC236}">
              <a16:creationId xmlns:a16="http://schemas.microsoft.com/office/drawing/2014/main" id="{F960C8BD-5410-4E3B-3F23-B9B68BB3CC74}"/>
            </a:ext>
          </a:extLst>
        </xdr:cNvPr>
        <xdr:cNvSpPr/>
      </xdr:nvSpPr>
      <xdr:spPr>
        <a:xfrm>
          <a:off x="7539841" y="4850876"/>
          <a:ext cx="5638143" cy="1003046"/>
        </a:xfrm>
        <a:prstGeom prst="roundRect">
          <a:avLst>
            <a:gd name="adj" fmla="val 2587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15</xdr:col>
      <xdr:colOff>152399</xdr:colOff>
      <xdr:row>25</xdr:row>
      <xdr:rowOff>46742</xdr:rowOff>
    </xdr:from>
    <xdr:to>
      <xdr:col>18</xdr:col>
      <xdr:colOff>200024</xdr:colOff>
      <xdr:row>27</xdr:row>
      <xdr:rowOff>65792</xdr:rowOff>
    </xdr:to>
    <xdr:sp macro="" textlink="">
      <xdr:nvSpPr>
        <xdr:cNvPr id="117" name="TextBox 116">
          <a:extLst>
            <a:ext uri="{FF2B5EF4-FFF2-40B4-BE49-F238E27FC236}">
              <a16:creationId xmlns:a16="http://schemas.microsoft.com/office/drawing/2014/main" id="{AF4C04C7-D81E-4F39-912B-35645550C355}"/>
            </a:ext>
          </a:extLst>
        </xdr:cNvPr>
        <xdr:cNvSpPr txBox="1"/>
      </xdr:nvSpPr>
      <xdr:spPr>
        <a:xfrm>
          <a:off x="9363172" y="4711046"/>
          <a:ext cx="1874068" cy="392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1200" b="1">
              <a:solidFill>
                <a:schemeClr val="bg2">
                  <a:lumMod val="25000"/>
                </a:schemeClr>
              </a:solidFill>
              <a:latin typeface="Times New Roman" panose="02020603050405020304" pitchFamily="18" charset="0"/>
              <a:cs typeface="Times New Roman" panose="02020603050405020304" pitchFamily="18" charset="0"/>
            </a:rPr>
            <a:t>Recommendations</a:t>
          </a:r>
        </a:p>
      </xdr:txBody>
    </xdr:sp>
    <xdr:clientData/>
  </xdr:twoCellAnchor>
  <xdr:twoCellAnchor>
    <xdr:from>
      <xdr:col>3</xdr:col>
      <xdr:colOff>133349</xdr:colOff>
      <xdr:row>25</xdr:row>
      <xdr:rowOff>142875</xdr:rowOff>
    </xdr:from>
    <xdr:to>
      <xdr:col>12</xdr:col>
      <xdr:colOff>142875</xdr:colOff>
      <xdr:row>31</xdr:row>
      <xdr:rowOff>108016</xdr:rowOff>
    </xdr:to>
    <xdr:sp macro="" textlink="">
      <xdr:nvSpPr>
        <xdr:cNvPr id="118" name="Rectangle: Rounded Corners 117">
          <a:extLst>
            <a:ext uri="{FF2B5EF4-FFF2-40B4-BE49-F238E27FC236}">
              <a16:creationId xmlns:a16="http://schemas.microsoft.com/office/drawing/2014/main" id="{993D5FCA-DF26-BE1D-00C3-E08EAE272171}"/>
            </a:ext>
          </a:extLst>
        </xdr:cNvPr>
        <xdr:cNvSpPr/>
      </xdr:nvSpPr>
      <xdr:spPr>
        <a:xfrm>
          <a:off x="1665205" y="4807179"/>
          <a:ext cx="5862000" cy="1084574"/>
        </a:xfrm>
        <a:prstGeom prst="roundRect">
          <a:avLst/>
        </a:prstGeom>
        <a:noFill/>
        <a:ln w="6350">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8</xdr:col>
      <xdr:colOff>455194</xdr:colOff>
      <xdr:row>25</xdr:row>
      <xdr:rowOff>179470</xdr:rowOff>
    </xdr:from>
    <xdr:to>
      <xdr:col>11</xdr:col>
      <xdr:colOff>293269</xdr:colOff>
      <xdr:row>28</xdr:row>
      <xdr:rowOff>8020</xdr:rowOff>
    </xdr:to>
    <xdr:sp macro="" textlink="">
      <xdr:nvSpPr>
        <xdr:cNvPr id="120" name="TextBox 119">
          <a:extLst>
            <a:ext uri="{FF2B5EF4-FFF2-40B4-BE49-F238E27FC236}">
              <a16:creationId xmlns:a16="http://schemas.microsoft.com/office/drawing/2014/main" id="{352905FD-3F6F-422E-942E-1D5046AB2502}"/>
            </a:ext>
          </a:extLst>
        </xdr:cNvPr>
        <xdr:cNvSpPr txBox="1"/>
      </xdr:nvSpPr>
      <xdr:spPr>
        <a:xfrm>
          <a:off x="5217694" y="4941970"/>
          <a:ext cx="1883443"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1100" b="1">
              <a:solidFill>
                <a:srgbClr val="C00000"/>
              </a:solidFill>
              <a:latin typeface="Times New Roman" panose="02020603050405020304" pitchFamily="18" charset="0"/>
              <a:cs typeface="Times New Roman" panose="02020603050405020304" pitchFamily="18" charset="0"/>
            </a:rPr>
            <a:t>Attention</a:t>
          </a:r>
          <a:r>
            <a:rPr lang="en-MY" sz="1100" b="1" baseline="0">
              <a:solidFill>
                <a:srgbClr val="C00000"/>
              </a:solidFill>
              <a:latin typeface="Times New Roman" panose="02020603050405020304" pitchFamily="18" charset="0"/>
              <a:cs typeface="Times New Roman" panose="02020603050405020304" pitchFamily="18" charset="0"/>
            </a:rPr>
            <a:t> !</a:t>
          </a:r>
          <a:endParaRPr lang="en-MY" sz="11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280737</xdr:colOff>
      <xdr:row>27</xdr:row>
      <xdr:rowOff>30080</xdr:rowOff>
    </xdr:from>
    <xdr:to>
      <xdr:col>12</xdr:col>
      <xdr:colOff>250658</xdr:colOff>
      <xdr:row>30</xdr:row>
      <xdr:rowOff>160422</xdr:rowOff>
    </xdr:to>
    <xdr:sp macro="" textlink="">
      <xdr:nvSpPr>
        <xdr:cNvPr id="121" name="TextBox 120">
          <a:extLst>
            <a:ext uri="{FF2B5EF4-FFF2-40B4-BE49-F238E27FC236}">
              <a16:creationId xmlns:a16="http://schemas.microsoft.com/office/drawing/2014/main" id="{7661D548-FC58-47E3-9D4E-7A91053882C3}"/>
            </a:ext>
          </a:extLst>
        </xdr:cNvPr>
        <xdr:cNvSpPr txBox="1"/>
      </xdr:nvSpPr>
      <xdr:spPr>
        <a:xfrm>
          <a:off x="5043237" y="5173580"/>
          <a:ext cx="2626895" cy="701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MY" sz="1050" b="0">
              <a:solidFill>
                <a:schemeClr val="accent3">
                  <a:lumMod val="50000"/>
                </a:schemeClr>
              </a:solidFill>
              <a:latin typeface="Times New Roman" panose="02020603050405020304" pitchFamily="18" charset="0"/>
              <a:cs typeface="Times New Roman" panose="02020603050405020304" pitchFamily="18" charset="0"/>
            </a:rPr>
            <a:t>Outlet</a:t>
          </a:r>
          <a:r>
            <a:rPr lang="en-MY" sz="1050" b="0" baseline="0">
              <a:solidFill>
                <a:schemeClr val="accent3">
                  <a:lumMod val="50000"/>
                </a:schemeClr>
              </a:solidFill>
              <a:latin typeface="Times New Roman" panose="02020603050405020304" pitchFamily="18" charset="0"/>
              <a:cs typeface="Times New Roman" panose="02020603050405020304" pitchFamily="18" charset="0"/>
            </a:rPr>
            <a:t> B requires investigation due to significant sales variance result to </a:t>
          </a:r>
          <a:r>
            <a:rPr lang="en-MY" sz="1050" b="1" baseline="0">
              <a:solidFill>
                <a:schemeClr val="accent3">
                  <a:lumMod val="50000"/>
                </a:schemeClr>
              </a:solidFill>
              <a:latin typeface="Times New Roman" panose="02020603050405020304" pitchFamily="18" charset="0"/>
              <a:cs typeface="Times New Roman" panose="02020603050405020304" pitchFamily="18" charset="0"/>
            </a:rPr>
            <a:t>high wastage </a:t>
          </a:r>
          <a:r>
            <a:rPr lang="en-MY" sz="1050" b="0" baseline="0">
              <a:solidFill>
                <a:schemeClr val="accent3">
                  <a:lumMod val="50000"/>
                </a:schemeClr>
              </a:solidFill>
              <a:latin typeface="Times New Roman" panose="02020603050405020304" pitchFamily="18" charset="0"/>
              <a:cs typeface="Times New Roman" panose="02020603050405020304" pitchFamily="18" charset="0"/>
            </a:rPr>
            <a:t>and</a:t>
          </a:r>
          <a:r>
            <a:rPr lang="en-MY" sz="1050" b="1" baseline="0">
              <a:solidFill>
                <a:schemeClr val="accent3">
                  <a:lumMod val="50000"/>
                </a:schemeClr>
              </a:solidFill>
              <a:latin typeface="Times New Roman" panose="02020603050405020304" pitchFamily="18" charset="0"/>
              <a:cs typeface="Times New Roman" panose="02020603050405020304" pitchFamily="18" charset="0"/>
            </a:rPr>
            <a:t> spoilage.</a:t>
          </a:r>
          <a:endParaRPr lang="en-MY" sz="11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383874</xdr:colOff>
      <xdr:row>26</xdr:row>
      <xdr:rowOff>128475</xdr:rowOff>
    </xdr:from>
    <xdr:to>
      <xdr:col>21</xdr:col>
      <xdr:colOff>428051</xdr:colOff>
      <xdr:row>31</xdr:row>
      <xdr:rowOff>78133</xdr:rowOff>
    </xdr:to>
    <xdr:sp macro="" textlink="">
      <xdr:nvSpPr>
        <xdr:cNvPr id="122" name="TextBox 121">
          <a:extLst>
            <a:ext uri="{FF2B5EF4-FFF2-40B4-BE49-F238E27FC236}">
              <a16:creationId xmlns:a16="http://schemas.microsoft.com/office/drawing/2014/main" id="{0E3B41B5-C0EB-5FE9-73BC-92813E57284D}"/>
            </a:ext>
          </a:extLst>
        </xdr:cNvPr>
        <xdr:cNvSpPr txBox="1"/>
      </xdr:nvSpPr>
      <xdr:spPr>
        <a:xfrm>
          <a:off x="7768204" y="4979351"/>
          <a:ext cx="5523507" cy="882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MY" sz="1000" b="0">
              <a:solidFill>
                <a:schemeClr val="bg2">
                  <a:lumMod val="10000"/>
                </a:schemeClr>
              </a:solidFill>
              <a:latin typeface="Times New Roman" panose="02020603050405020304" pitchFamily="18" charset="0"/>
              <a:cs typeface="Times New Roman" panose="02020603050405020304" pitchFamily="18" charset="0"/>
            </a:rPr>
            <a:t>Investigate </a:t>
          </a:r>
          <a:r>
            <a:rPr lang="en-MY" sz="1000" b="1">
              <a:solidFill>
                <a:srgbClr val="C00000"/>
              </a:solidFill>
              <a:latin typeface="Times New Roman" panose="02020603050405020304" pitchFamily="18" charset="0"/>
              <a:cs typeface="Times New Roman" panose="02020603050405020304" pitchFamily="18" charset="0"/>
            </a:rPr>
            <a:t>Stock Variance</a:t>
          </a:r>
          <a:r>
            <a:rPr lang="en-MY" sz="1000" b="0">
              <a:solidFill>
                <a:schemeClr val="bg2">
                  <a:lumMod val="10000"/>
                </a:schemeClr>
              </a:solidFill>
              <a:latin typeface="Times New Roman" panose="02020603050405020304" pitchFamily="18" charset="0"/>
              <a:cs typeface="Times New Roman" panose="02020603050405020304" pitchFamily="18" charset="0"/>
            </a:rPr>
            <a:t>:</a:t>
          </a:r>
          <a:r>
            <a:rPr lang="en-MY" sz="1000" b="0" baseline="0">
              <a:solidFill>
                <a:schemeClr val="bg2">
                  <a:lumMod val="10000"/>
                </a:schemeClr>
              </a:solidFill>
              <a:latin typeface="Times New Roman" panose="02020603050405020304" pitchFamily="18" charset="0"/>
              <a:cs typeface="Times New Roman" panose="02020603050405020304" pitchFamily="18" charset="0"/>
            </a:rPr>
            <a:t> </a:t>
          </a:r>
          <a:r>
            <a:rPr lang="en-MY" sz="1000" b="0" i="0" baseline="0">
              <a:solidFill>
                <a:schemeClr val="dk1"/>
              </a:solidFill>
              <a:effectLst/>
              <a:latin typeface="Times New Roman" panose="02020603050405020304" pitchFamily="18" charset="0"/>
              <a:ea typeface="+mn-ea"/>
              <a:cs typeface="Times New Roman" panose="02020603050405020304" pitchFamily="18" charset="0"/>
            </a:rPr>
            <a:t>E</a:t>
          </a:r>
          <a:r>
            <a:rPr lang="en-MY" sz="1000" i="0">
              <a:solidFill>
                <a:schemeClr val="dk1"/>
              </a:solidFill>
              <a:effectLst/>
              <a:latin typeface="Times New Roman" panose="02020603050405020304" pitchFamily="18" charset="0"/>
              <a:ea typeface="+mn-ea"/>
              <a:cs typeface="Times New Roman" panose="02020603050405020304" pitchFamily="18" charset="0"/>
            </a:rPr>
            <a:t>nforce </a:t>
          </a:r>
          <a:r>
            <a:rPr lang="en-MY" sz="1000" b="1" i="0">
              <a:solidFill>
                <a:schemeClr val="dk1"/>
              </a:solidFill>
              <a:effectLst/>
              <a:latin typeface="Times New Roman" panose="02020603050405020304" pitchFamily="18" charset="0"/>
              <a:ea typeface="+mn-ea"/>
              <a:cs typeface="Times New Roman" panose="02020603050405020304" pitchFamily="18" charset="0"/>
            </a:rPr>
            <a:t>high value blind cycle counts</a:t>
          </a:r>
          <a:r>
            <a:rPr lang="en-MY" sz="1000" i="0">
              <a:solidFill>
                <a:schemeClr val="dk1"/>
              </a:solidFill>
              <a:effectLst/>
              <a:latin typeface="Times New Roman" panose="02020603050405020304" pitchFamily="18" charset="0"/>
              <a:ea typeface="+mn-ea"/>
              <a:cs typeface="Times New Roman" panose="02020603050405020304" pitchFamily="18" charset="0"/>
            </a:rPr>
            <a:t> for the top 3 highest-value.</a:t>
          </a:r>
        </a:p>
        <a:p>
          <a:r>
            <a:rPr lang="en-MY" sz="1000" b="1"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Operational</a:t>
          </a:r>
          <a:r>
            <a:rPr lang="en-MY" sz="1100" b="1" u="none" strike="noStrike">
              <a:solidFill>
                <a:schemeClr val="dk1"/>
              </a:solidFill>
              <a:effectLst/>
              <a:latin typeface="+mn-lt"/>
              <a:ea typeface="+mn-ea"/>
              <a:cs typeface="+mn-cs"/>
            </a:rPr>
            <a:t> </a:t>
          </a:r>
          <a:r>
            <a:rPr lang="en-MY" sz="1000" b="1"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Waste</a:t>
          </a:r>
          <a:r>
            <a:rPr lang="en-MY" sz="1100" b="1" u="none" strike="noStrike">
              <a:solidFill>
                <a:schemeClr val="dk1"/>
              </a:solidFill>
              <a:effectLst/>
              <a:latin typeface="+mn-lt"/>
              <a:ea typeface="+mn-ea"/>
              <a:cs typeface="+mn-cs"/>
            </a:rPr>
            <a:t> </a:t>
          </a:r>
          <a:r>
            <a:rPr lang="en-MY" sz="1000" b="1"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&amp;</a:t>
          </a:r>
          <a:r>
            <a:rPr lang="en-MY" sz="1100" b="1" u="none" strike="noStrike">
              <a:solidFill>
                <a:schemeClr val="dk1"/>
              </a:solidFill>
              <a:effectLst/>
              <a:latin typeface="+mn-lt"/>
              <a:ea typeface="+mn-ea"/>
              <a:cs typeface="+mn-cs"/>
            </a:rPr>
            <a:t> </a:t>
          </a:r>
          <a:r>
            <a:rPr lang="en-MY" sz="1000" b="1"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Spoilage,</a:t>
          </a:r>
          <a:r>
            <a:rPr lang="en-MY" sz="1000" b="1" u="none" strike="noStrike" baseline="0">
              <a:solidFill>
                <a:schemeClr val="bg2">
                  <a:lumMod val="10000"/>
                </a:schemeClr>
              </a:solidFill>
              <a:effectLst/>
              <a:latin typeface="Times New Roman" panose="02020603050405020304" pitchFamily="18" charset="0"/>
              <a:ea typeface="+mn-ea"/>
              <a:cs typeface="Times New Roman" panose="02020603050405020304" pitchFamily="18" charset="0"/>
            </a:rPr>
            <a:t> </a:t>
          </a:r>
          <a:r>
            <a:rPr lang="en-MY" sz="1000" b="1"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Theft</a:t>
          </a:r>
        </a:p>
        <a:p>
          <a:endParaRPr lang="en-MY" sz="1000" b="0">
            <a:solidFill>
              <a:schemeClr val="bg2">
                <a:lumMod val="10000"/>
              </a:schemeClr>
            </a:solidFill>
            <a:latin typeface="Times New Roman" panose="02020603050405020304" pitchFamily="18" charset="0"/>
            <a:cs typeface="Times New Roman" panose="02020603050405020304" pitchFamily="18" charset="0"/>
          </a:endParaRPr>
        </a:p>
        <a:p>
          <a:r>
            <a:rPr lang="en-MY" sz="1000" b="0">
              <a:solidFill>
                <a:schemeClr val="bg2">
                  <a:lumMod val="10000"/>
                </a:schemeClr>
              </a:solidFill>
              <a:latin typeface="Times New Roman" panose="02020603050405020304" pitchFamily="18" charset="0"/>
              <a:cs typeface="Times New Roman" panose="02020603050405020304" pitchFamily="18" charset="0"/>
            </a:rPr>
            <a:t>Investigate 4 main operational</a:t>
          </a:r>
          <a:r>
            <a:rPr lang="en-MY" sz="1000" b="0" baseline="0">
              <a:solidFill>
                <a:schemeClr val="bg2">
                  <a:lumMod val="10000"/>
                </a:schemeClr>
              </a:solidFill>
              <a:latin typeface="Times New Roman" panose="02020603050405020304" pitchFamily="18" charset="0"/>
              <a:cs typeface="Times New Roman" panose="02020603050405020304" pitchFamily="18" charset="0"/>
            </a:rPr>
            <a:t> aspects </a:t>
          </a:r>
          <a:r>
            <a:rPr lang="en-MY" sz="1000" b="0">
              <a:solidFill>
                <a:schemeClr val="bg2">
                  <a:lumMod val="10000"/>
                </a:schemeClr>
              </a:solidFill>
              <a:latin typeface="Times New Roman" panose="02020603050405020304" pitchFamily="18" charset="0"/>
              <a:cs typeface="Times New Roman" panose="02020603050405020304" pitchFamily="18" charset="0"/>
            </a:rPr>
            <a:t>of Outlet B </a:t>
          </a:r>
          <a:r>
            <a:rPr lang="en-MY" sz="1000" b="1">
              <a:solidFill>
                <a:srgbClr val="C00000"/>
              </a:solidFill>
              <a:latin typeface="Times New Roman" panose="02020603050405020304" pitchFamily="18" charset="0"/>
              <a:cs typeface="Times New Roman" panose="02020603050405020304" pitchFamily="18" charset="0"/>
            </a:rPr>
            <a:t>(Food Cost)</a:t>
          </a:r>
          <a:r>
            <a:rPr lang="en-MY" sz="1000" b="0">
              <a:solidFill>
                <a:schemeClr val="bg2">
                  <a:lumMod val="10000"/>
                </a:schemeClr>
              </a:solidFill>
              <a:latin typeface="Times New Roman" panose="02020603050405020304" pitchFamily="18" charset="0"/>
              <a:cs typeface="Times New Roman" panose="02020603050405020304" pitchFamily="18" charset="0"/>
            </a:rPr>
            <a:t>: </a:t>
          </a:r>
          <a:r>
            <a:rPr lang="en-MY" sz="1000" b="1"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Purchasing</a:t>
          </a:r>
          <a:r>
            <a:rPr lang="en-MY" sz="1000" b="0"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 </a:t>
          </a:r>
          <a:r>
            <a:rPr lang="en-MY" sz="1000" b="1"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Kitchen Operations</a:t>
          </a:r>
          <a:r>
            <a:rPr lang="en-MY" sz="1000" b="0"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 </a:t>
          </a:r>
          <a:r>
            <a:rPr lang="en-MY" sz="1000" b="1"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Sales/POS</a:t>
          </a:r>
          <a:r>
            <a:rPr lang="en-MY" sz="1000" b="0"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 and </a:t>
          </a:r>
          <a:r>
            <a:rPr lang="en-MY" sz="1000" b="1"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Inventory</a:t>
          </a:r>
          <a:r>
            <a:rPr lang="en-MY" sz="1000" b="0" u="none" strike="noStrike">
              <a:solidFill>
                <a:schemeClr val="bg2">
                  <a:lumMod val="10000"/>
                </a:schemeClr>
              </a:solidFill>
              <a:effectLst/>
              <a:latin typeface="Times New Roman" panose="02020603050405020304" pitchFamily="18" charset="0"/>
              <a:ea typeface="+mn-ea"/>
              <a:cs typeface="Times New Roman" panose="02020603050405020304" pitchFamily="18" charset="0"/>
            </a:rPr>
            <a:t>.</a:t>
          </a:r>
        </a:p>
        <a:p>
          <a:endParaRPr lang="en-MY" sz="1000" b="1" u="none" strike="noStrike">
            <a:solidFill>
              <a:srgbClr val="C00000"/>
            </a:solidFill>
            <a:effectLst/>
            <a:latin typeface="Times New Roman" panose="02020603050405020304" pitchFamily="18" charset="0"/>
            <a:ea typeface="+mn-ea"/>
            <a:cs typeface="Times New Roman" panose="02020603050405020304" pitchFamily="18" charset="0"/>
          </a:endParaRPr>
        </a:p>
        <a:p>
          <a:r>
            <a:rPr lang="en-MY" sz="1000" b="1" u="none" strike="noStrike">
              <a:solidFill>
                <a:srgbClr val="C00000"/>
              </a:solidFill>
              <a:effectLst/>
              <a:latin typeface="Times New Roman" panose="02020603050405020304" pitchFamily="18" charset="0"/>
              <a:ea typeface="+mn-ea"/>
              <a:cs typeface="Times New Roman" panose="02020603050405020304" pitchFamily="18" charset="0"/>
            </a:rPr>
            <a:t>    </a:t>
          </a:r>
          <a:br>
            <a:rPr lang="en-MY" sz="1050"/>
          </a:br>
          <a:endParaRPr lang="en-MY" sz="1050"/>
        </a:p>
        <a:p>
          <a:pPr algn="l"/>
          <a:r>
            <a:rPr lang="en-MY" sz="1050" b="0" baseline="0">
              <a:solidFill>
                <a:schemeClr val="accent3">
                  <a:lumMod val="50000"/>
                </a:schemeClr>
              </a:solidFill>
              <a:latin typeface="Times New Roman" panose="02020603050405020304" pitchFamily="18" charset="0"/>
              <a:cs typeface="Times New Roman" panose="02020603050405020304" pitchFamily="18" charset="0"/>
            </a:rPr>
            <a:t> </a:t>
          </a:r>
          <a:endParaRPr lang="en-MY" sz="1100" b="1">
            <a:solidFill>
              <a:schemeClr val="accent3">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259345</xdr:colOff>
      <xdr:row>20</xdr:row>
      <xdr:rowOff>86919</xdr:rowOff>
    </xdr:from>
    <xdr:to>
      <xdr:col>2</xdr:col>
      <xdr:colOff>234630</xdr:colOff>
      <xdr:row>31</xdr:row>
      <xdr:rowOff>108017</xdr:rowOff>
    </xdr:to>
    <xdr:sp macro="" textlink="">
      <xdr:nvSpPr>
        <xdr:cNvPr id="123" name="TextBox 122">
          <a:extLst>
            <a:ext uri="{FF2B5EF4-FFF2-40B4-BE49-F238E27FC236}">
              <a16:creationId xmlns:a16="http://schemas.microsoft.com/office/drawing/2014/main" id="{E8AAB5F8-6498-4B41-A3A5-3E5F45BC8DD3}"/>
            </a:ext>
          </a:extLst>
        </xdr:cNvPr>
        <xdr:cNvSpPr txBox="1"/>
      </xdr:nvSpPr>
      <xdr:spPr>
        <a:xfrm>
          <a:off x="259345" y="3818362"/>
          <a:ext cx="1183094" cy="2073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MY" sz="1000" b="1">
              <a:solidFill>
                <a:schemeClr val="dk1"/>
              </a:solidFill>
              <a:effectLst/>
              <a:latin typeface="Times New Roman" panose="02020603050405020304" pitchFamily="18" charset="0"/>
              <a:ea typeface="+mn-ea"/>
              <a:cs typeface="Times New Roman" panose="02020603050405020304" pitchFamily="18" charset="0"/>
            </a:rPr>
            <a:t>Top Performing Outlets:</a:t>
          </a:r>
          <a:r>
            <a:rPr lang="en-MY" sz="1000">
              <a:solidFill>
                <a:schemeClr val="dk1"/>
              </a:solidFill>
              <a:effectLst/>
              <a:latin typeface="Times New Roman" panose="02020603050405020304" pitchFamily="18" charset="0"/>
              <a:ea typeface="+mn-ea"/>
              <a:cs typeface="Times New Roman" panose="02020603050405020304" pitchFamily="18" charset="0"/>
            </a:rPr>
            <a:t> </a:t>
          </a:r>
          <a:r>
            <a:rPr lang="en-MY" sz="1000" b="1">
              <a:solidFill>
                <a:schemeClr val="dk1"/>
              </a:solidFill>
              <a:effectLst/>
              <a:latin typeface="Times New Roman" panose="02020603050405020304" pitchFamily="18" charset="0"/>
              <a:ea typeface="+mn-ea"/>
              <a:cs typeface="Times New Roman" panose="02020603050405020304" pitchFamily="18" charset="0"/>
            </a:rPr>
            <a:t>Outlet C</a:t>
          </a:r>
          <a:r>
            <a:rPr lang="en-MY" sz="1000">
              <a:solidFill>
                <a:schemeClr val="dk1"/>
              </a:solidFill>
              <a:effectLst/>
              <a:latin typeface="Times New Roman" panose="02020603050405020304" pitchFamily="18" charset="0"/>
              <a:ea typeface="+mn-ea"/>
              <a:cs typeface="Times New Roman" panose="02020603050405020304" pitchFamily="18" charset="0"/>
            </a:rPr>
            <a:t> is the clear leader closely followed by </a:t>
          </a:r>
          <a:r>
            <a:rPr lang="en-MY" sz="1000" b="1">
              <a:solidFill>
                <a:schemeClr val="dk1"/>
              </a:solidFill>
              <a:effectLst/>
              <a:latin typeface="Times New Roman" panose="02020603050405020304" pitchFamily="18" charset="0"/>
              <a:ea typeface="+mn-ea"/>
              <a:cs typeface="Times New Roman" panose="02020603050405020304" pitchFamily="18" charset="0"/>
            </a:rPr>
            <a:t>Outlet E</a:t>
          </a:r>
          <a:r>
            <a:rPr lang="en-MY" sz="1000">
              <a:solidFill>
                <a:schemeClr val="dk1"/>
              </a:solidFill>
              <a:effectLst/>
              <a:latin typeface="Times New Roman" panose="02020603050405020304" pitchFamily="18" charset="0"/>
              <a:ea typeface="+mn-ea"/>
              <a:cs typeface="Times New Roman" panose="02020603050405020304" pitchFamily="18" charset="0"/>
            </a:rPr>
            <a:t> and </a:t>
          </a:r>
          <a:r>
            <a:rPr lang="en-MY" sz="1000" b="1">
              <a:solidFill>
                <a:schemeClr val="dk1"/>
              </a:solidFill>
              <a:effectLst/>
              <a:latin typeface="Times New Roman" panose="02020603050405020304" pitchFamily="18" charset="0"/>
              <a:ea typeface="+mn-ea"/>
              <a:cs typeface="Times New Roman" panose="02020603050405020304" pitchFamily="18" charset="0"/>
            </a:rPr>
            <a:t>Outlet D</a:t>
          </a:r>
          <a:r>
            <a:rPr lang="en-MY" sz="1000">
              <a:solidFill>
                <a:schemeClr val="dk1"/>
              </a:solidFill>
              <a:effectLst/>
              <a:latin typeface="Times New Roman" panose="02020603050405020304" pitchFamily="18" charset="0"/>
              <a:ea typeface="+mn-ea"/>
              <a:cs typeface="Times New Roman" panose="02020603050405020304" pitchFamily="18" charset="0"/>
            </a:rPr>
            <a:t>.</a:t>
          </a:r>
          <a:endParaRPr lang="en-MY" sz="800">
            <a:effectLst/>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MY" sz="1000" b="0">
            <a:solidFill>
              <a:schemeClr val="dk1"/>
            </a:solidFill>
            <a:effectLst/>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MY" sz="1000" b="1">
              <a:solidFill>
                <a:schemeClr val="dk1"/>
              </a:solidFill>
              <a:effectLst/>
              <a:latin typeface="Times New Roman" panose="02020603050405020304" pitchFamily="18" charset="0"/>
              <a:ea typeface="+mn-ea"/>
              <a:cs typeface="Times New Roman" panose="02020603050405020304" pitchFamily="18" charset="0"/>
            </a:rPr>
            <a:t>Total Sales </a:t>
          </a:r>
          <a:r>
            <a:rPr lang="en-MY" sz="1000" b="0">
              <a:solidFill>
                <a:schemeClr val="dk1"/>
              </a:solidFill>
              <a:effectLst/>
              <a:latin typeface="Times New Roman" panose="02020603050405020304" pitchFamily="18" charset="0"/>
              <a:ea typeface="+mn-ea"/>
              <a:cs typeface="Times New Roman" panose="02020603050405020304" pitchFamily="18" charset="0"/>
            </a:rPr>
            <a:t>are     significantly higher than both </a:t>
          </a:r>
          <a:r>
            <a:rPr lang="en-MY" sz="1000" b="1">
              <a:solidFill>
                <a:schemeClr val="dk1"/>
              </a:solidFill>
              <a:effectLst/>
              <a:latin typeface="Times New Roman" panose="02020603050405020304" pitchFamily="18" charset="0"/>
              <a:ea typeface="+mn-ea"/>
              <a:cs typeface="Times New Roman" panose="02020603050405020304" pitchFamily="18" charset="0"/>
            </a:rPr>
            <a:t>Total Purchases </a:t>
          </a:r>
          <a:r>
            <a:rPr lang="en-MY" sz="1000" b="0">
              <a:solidFill>
                <a:schemeClr val="dk1"/>
              </a:solidFill>
              <a:effectLst/>
              <a:latin typeface="Times New Roman" panose="02020603050405020304" pitchFamily="18" charset="0"/>
              <a:ea typeface="+mn-ea"/>
              <a:cs typeface="Times New Roman" panose="02020603050405020304" pitchFamily="18" charset="0"/>
            </a:rPr>
            <a:t>and </a:t>
          </a:r>
          <a:r>
            <a:rPr lang="en-MY" sz="1000" b="1">
              <a:solidFill>
                <a:schemeClr val="dk1"/>
              </a:solidFill>
              <a:effectLst/>
              <a:latin typeface="Times New Roman" panose="02020603050405020304" pitchFamily="18" charset="0"/>
              <a:ea typeface="+mn-ea"/>
              <a:cs typeface="Times New Roman" panose="02020603050405020304" pitchFamily="18" charset="0"/>
            </a:rPr>
            <a:t>Total Usage</a:t>
          </a:r>
          <a:r>
            <a:rPr lang="en-MY" sz="1000" b="0">
              <a:solidFill>
                <a:schemeClr val="dk1"/>
              </a:solidFill>
              <a:effectLst/>
              <a:latin typeface="Times New Roman" panose="02020603050405020304" pitchFamily="18" charset="0"/>
              <a:ea typeface="+mn-ea"/>
              <a:cs typeface="Times New Roman" panose="02020603050405020304" pitchFamily="18" charset="0"/>
            </a:rPr>
            <a:t> across </a:t>
          </a:r>
          <a:r>
            <a:rPr lang="en-MY" sz="1000" b="1">
              <a:solidFill>
                <a:schemeClr val="dk1"/>
              </a:solidFill>
              <a:effectLst/>
              <a:latin typeface="Times New Roman" panose="02020603050405020304" pitchFamily="18" charset="0"/>
              <a:ea typeface="+mn-ea"/>
              <a:cs typeface="Times New Roman" panose="02020603050405020304" pitchFamily="18" charset="0"/>
            </a:rPr>
            <a:t>all outlets</a:t>
          </a:r>
          <a:r>
            <a:rPr lang="en-MY" sz="1000" b="0">
              <a:solidFill>
                <a:schemeClr val="dk1"/>
              </a:solidFill>
              <a:effectLst/>
              <a:latin typeface="Times New Roman" panose="02020603050405020304" pitchFamily="18" charset="0"/>
              <a:ea typeface="+mn-ea"/>
              <a:cs typeface="Times New Roman" panose="02020603050405020304" pitchFamily="18" charset="0"/>
            </a:rPr>
            <a:t>.</a:t>
          </a:r>
          <a:endParaRPr lang="en-MY" sz="800">
            <a:effectLst/>
            <a:latin typeface="Times New Roman" panose="02020603050405020304" pitchFamily="18" charset="0"/>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MY" sz="1000" b="0" u="none" strike="noStrike">
            <a:solidFill>
              <a:schemeClr val="bg2">
                <a:lumMod val="25000"/>
              </a:schemeClr>
            </a:solidFill>
            <a:effectLst/>
            <a:latin typeface="Times New Roman" panose="02020603050405020304" pitchFamily="18" charset="0"/>
            <a:ea typeface="+mn-ea"/>
            <a:cs typeface="Times New Roman" panose="02020603050405020304" pitchFamily="18" charset="0"/>
          </a:endParaRPr>
        </a:p>
      </xdr:txBody>
    </xdr:sp>
    <xdr:clientData/>
  </xdr:twoCellAnchor>
  <xdr:twoCellAnchor>
    <xdr:from>
      <xdr:col>8</xdr:col>
      <xdr:colOff>209870</xdr:colOff>
      <xdr:row>27</xdr:row>
      <xdr:rowOff>111059</xdr:rowOff>
    </xdr:from>
    <xdr:to>
      <xdr:col>8</xdr:col>
      <xdr:colOff>273843</xdr:colOff>
      <xdr:row>27</xdr:row>
      <xdr:rowOff>178595</xdr:rowOff>
    </xdr:to>
    <xdr:sp macro="" textlink="">
      <xdr:nvSpPr>
        <xdr:cNvPr id="125" name="Flowchart: Connector 124">
          <a:extLst>
            <a:ext uri="{FF2B5EF4-FFF2-40B4-BE49-F238E27FC236}">
              <a16:creationId xmlns:a16="http://schemas.microsoft.com/office/drawing/2014/main" id="{A18761A9-3B64-48C5-8090-39C64920B461}"/>
            </a:ext>
          </a:extLst>
        </xdr:cNvPr>
        <xdr:cNvSpPr/>
      </xdr:nvSpPr>
      <xdr:spPr>
        <a:xfrm flipH="1">
          <a:off x="4954511" y="5254559"/>
          <a:ext cx="63973" cy="67536"/>
        </a:xfrm>
        <a:prstGeom prst="flowChartConnector">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223041</xdr:colOff>
      <xdr:row>26</xdr:row>
      <xdr:rowOff>73860</xdr:rowOff>
    </xdr:from>
    <xdr:to>
      <xdr:col>0</xdr:col>
      <xdr:colOff>290922</xdr:colOff>
      <xdr:row>26</xdr:row>
      <xdr:rowOff>142052</xdr:rowOff>
    </xdr:to>
    <xdr:sp macro="" textlink="">
      <xdr:nvSpPr>
        <xdr:cNvPr id="126" name="Flowchart: Connector 125">
          <a:extLst>
            <a:ext uri="{FF2B5EF4-FFF2-40B4-BE49-F238E27FC236}">
              <a16:creationId xmlns:a16="http://schemas.microsoft.com/office/drawing/2014/main" id="{4864A579-FA3C-495D-A81F-F7E9188FB0F4}"/>
            </a:ext>
          </a:extLst>
        </xdr:cNvPr>
        <xdr:cNvSpPr/>
      </xdr:nvSpPr>
      <xdr:spPr>
        <a:xfrm flipH="1">
          <a:off x="223041" y="4957099"/>
          <a:ext cx="67881" cy="68192"/>
        </a:xfrm>
        <a:prstGeom prst="flowChartConnector">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0</xdr:col>
      <xdr:colOff>220031</xdr:colOff>
      <xdr:row>21</xdr:row>
      <xdr:rowOff>6192</xdr:rowOff>
    </xdr:from>
    <xdr:to>
      <xdr:col>0</xdr:col>
      <xdr:colOff>281653</xdr:colOff>
      <xdr:row>21</xdr:row>
      <xdr:rowOff>68097</xdr:rowOff>
    </xdr:to>
    <xdr:sp macro="" textlink="">
      <xdr:nvSpPr>
        <xdr:cNvPr id="127" name="Flowchart: Connector 126">
          <a:extLst>
            <a:ext uri="{FF2B5EF4-FFF2-40B4-BE49-F238E27FC236}">
              <a16:creationId xmlns:a16="http://schemas.microsoft.com/office/drawing/2014/main" id="{CEF83F60-668D-4BE0-A70D-420719DA6F48}"/>
            </a:ext>
          </a:extLst>
        </xdr:cNvPr>
        <xdr:cNvSpPr/>
      </xdr:nvSpPr>
      <xdr:spPr>
        <a:xfrm flipH="1">
          <a:off x="220031" y="3950347"/>
          <a:ext cx="61622" cy="61905"/>
        </a:xfrm>
        <a:prstGeom prst="flowChartConnector">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12</xdr:col>
      <xdr:colOff>296084</xdr:colOff>
      <xdr:row>27</xdr:row>
      <xdr:rowOff>28763</xdr:rowOff>
    </xdr:from>
    <xdr:to>
      <xdr:col>12</xdr:col>
      <xdr:colOff>362926</xdr:colOff>
      <xdr:row>27</xdr:row>
      <xdr:rowOff>91663</xdr:rowOff>
    </xdr:to>
    <xdr:sp macro="" textlink="">
      <xdr:nvSpPr>
        <xdr:cNvPr id="129" name="Flowchart: Connector 128">
          <a:extLst>
            <a:ext uri="{FF2B5EF4-FFF2-40B4-BE49-F238E27FC236}">
              <a16:creationId xmlns:a16="http://schemas.microsoft.com/office/drawing/2014/main" id="{6A74BA01-F98F-44A7-9D19-77EDA7494A13}"/>
            </a:ext>
          </a:extLst>
        </xdr:cNvPr>
        <xdr:cNvSpPr/>
      </xdr:nvSpPr>
      <xdr:spPr>
        <a:xfrm flipH="1">
          <a:off x="7692304" y="5141278"/>
          <a:ext cx="66842" cy="62900"/>
        </a:xfrm>
        <a:prstGeom prst="flowChartConnector">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12</xdr:col>
      <xdr:colOff>311347</xdr:colOff>
      <xdr:row>29</xdr:row>
      <xdr:rowOff>103559</xdr:rowOff>
    </xdr:from>
    <xdr:to>
      <xdr:col>12</xdr:col>
      <xdr:colOff>379227</xdr:colOff>
      <xdr:row>29</xdr:row>
      <xdr:rowOff>171544</xdr:rowOff>
    </xdr:to>
    <xdr:sp macro="" textlink="">
      <xdr:nvSpPr>
        <xdr:cNvPr id="130" name="Flowchart: Connector 129">
          <a:extLst>
            <a:ext uri="{FF2B5EF4-FFF2-40B4-BE49-F238E27FC236}">
              <a16:creationId xmlns:a16="http://schemas.microsoft.com/office/drawing/2014/main" id="{7517ABD7-5456-4E76-BAA0-33EC41E071AC}"/>
            </a:ext>
          </a:extLst>
        </xdr:cNvPr>
        <xdr:cNvSpPr/>
      </xdr:nvSpPr>
      <xdr:spPr>
        <a:xfrm flipH="1">
          <a:off x="7707567" y="5594779"/>
          <a:ext cx="67880" cy="67985"/>
        </a:xfrm>
        <a:prstGeom prst="flowChartConnector">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editAs="oneCell">
    <xdr:from>
      <xdr:col>15</xdr:col>
      <xdr:colOff>228205</xdr:colOff>
      <xdr:row>25</xdr:row>
      <xdr:rowOff>109551</xdr:rowOff>
    </xdr:from>
    <xdr:to>
      <xdr:col>15</xdr:col>
      <xdr:colOff>456407</xdr:colOff>
      <xdr:row>26</xdr:row>
      <xdr:rowOff>147294</xdr:rowOff>
    </xdr:to>
    <xdr:pic>
      <xdr:nvPicPr>
        <xdr:cNvPr id="132" name="Graphic 131" descr="Lightbulb">
          <a:extLst>
            <a:ext uri="{FF2B5EF4-FFF2-40B4-BE49-F238E27FC236}">
              <a16:creationId xmlns:a16="http://schemas.microsoft.com/office/drawing/2014/main" id="{8BF4249B-5F59-77A3-E8FF-2DC90D1B38B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438978" y="4773855"/>
          <a:ext cx="228202" cy="224315"/>
        </a:xfrm>
        <a:prstGeom prst="rect">
          <a:avLst/>
        </a:prstGeom>
      </xdr:spPr>
    </xdr:pic>
    <xdr:clientData/>
  </xdr:twoCellAnchor>
  <xdr:twoCellAnchor editAs="oneCell">
    <xdr:from>
      <xdr:col>4</xdr:col>
      <xdr:colOff>99019</xdr:colOff>
      <xdr:row>4</xdr:row>
      <xdr:rowOff>89203</xdr:rowOff>
    </xdr:from>
    <xdr:to>
      <xdr:col>4</xdr:col>
      <xdr:colOff>348887</xdr:colOff>
      <xdr:row>5</xdr:row>
      <xdr:rowOff>152140</xdr:rowOff>
    </xdr:to>
    <xdr:pic>
      <xdr:nvPicPr>
        <xdr:cNvPr id="134" name="Graphic 133" descr="Coins">
          <a:extLst>
            <a:ext uri="{FF2B5EF4-FFF2-40B4-BE49-F238E27FC236}">
              <a16:creationId xmlns:a16="http://schemas.microsoft.com/office/drawing/2014/main" id="{3D685697-FB64-D99F-5736-E3461941E24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17447" y="835492"/>
          <a:ext cx="249868" cy="249509"/>
        </a:xfrm>
        <a:prstGeom prst="rect">
          <a:avLst/>
        </a:prstGeom>
      </xdr:spPr>
    </xdr:pic>
    <xdr:clientData/>
  </xdr:twoCellAnchor>
  <xdr:twoCellAnchor editAs="oneCell">
    <xdr:from>
      <xdr:col>6</xdr:col>
      <xdr:colOff>466328</xdr:colOff>
      <xdr:row>4</xdr:row>
      <xdr:rowOff>119061</xdr:rowOff>
    </xdr:from>
    <xdr:to>
      <xdr:col>6</xdr:col>
      <xdr:colOff>734221</xdr:colOff>
      <xdr:row>6</xdr:row>
      <xdr:rowOff>9923</xdr:rowOff>
    </xdr:to>
    <xdr:pic>
      <xdr:nvPicPr>
        <xdr:cNvPr id="136" name="Graphic 135" descr="Fork and knife">
          <a:extLst>
            <a:ext uri="{FF2B5EF4-FFF2-40B4-BE49-F238E27FC236}">
              <a16:creationId xmlns:a16="http://schemas.microsoft.com/office/drawing/2014/main" id="{507C9885-E6A9-FF34-C1A2-FE7DF84F4BE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31406" y="873124"/>
          <a:ext cx="267893" cy="267893"/>
        </a:xfrm>
        <a:prstGeom prst="rect">
          <a:avLst/>
        </a:prstGeom>
      </xdr:spPr>
    </xdr:pic>
    <xdr:clientData/>
  </xdr:twoCellAnchor>
  <xdr:twoCellAnchor editAs="oneCell">
    <xdr:from>
      <xdr:col>9</xdr:col>
      <xdr:colOff>119061</xdr:colOff>
      <xdr:row>4</xdr:row>
      <xdr:rowOff>59531</xdr:rowOff>
    </xdr:from>
    <xdr:to>
      <xdr:col>9</xdr:col>
      <xdr:colOff>426641</xdr:colOff>
      <xdr:row>5</xdr:row>
      <xdr:rowOff>178596</xdr:rowOff>
    </xdr:to>
    <xdr:pic>
      <xdr:nvPicPr>
        <xdr:cNvPr id="138" name="Graphic 137" descr="Box">
          <a:extLst>
            <a:ext uri="{FF2B5EF4-FFF2-40B4-BE49-F238E27FC236}">
              <a16:creationId xmlns:a16="http://schemas.microsoft.com/office/drawing/2014/main" id="{14723033-4911-21DC-6EEE-606C5C22D37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685233" y="813594"/>
          <a:ext cx="307580" cy="307580"/>
        </a:xfrm>
        <a:prstGeom prst="rect">
          <a:avLst/>
        </a:prstGeom>
      </xdr:spPr>
    </xdr:pic>
    <xdr:clientData/>
  </xdr:twoCellAnchor>
  <xdr:twoCellAnchor editAs="oneCell">
    <xdr:from>
      <xdr:col>12</xdr:col>
      <xdr:colOff>267585</xdr:colOff>
      <xdr:row>4</xdr:row>
      <xdr:rowOff>50019</xdr:rowOff>
    </xdr:from>
    <xdr:to>
      <xdr:col>12</xdr:col>
      <xdr:colOff>565241</xdr:colOff>
      <xdr:row>5</xdr:row>
      <xdr:rowOff>157216</xdr:rowOff>
    </xdr:to>
    <xdr:pic>
      <xdr:nvPicPr>
        <xdr:cNvPr id="140" name="Graphic 139" descr="Repeat">
          <a:extLst>
            <a:ext uri="{FF2B5EF4-FFF2-40B4-BE49-F238E27FC236}">
              <a16:creationId xmlns:a16="http://schemas.microsoft.com/office/drawing/2014/main" id="{14D02EBE-AA29-0C41-8370-2C13727E2BB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651915" y="796308"/>
          <a:ext cx="297656" cy="293769"/>
        </a:xfrm>
        <a:prstGeom prst="rect">
          <a:avLst/>
        </a:prstGeom>
      </xdr:spPr>
    </xdr:pic>
    <xdr:clientData/>
  </xdr:twoCellAnchor>
  <xdr:twoCellAnchor editAs="oneCell">
    <xdr:from>
      <xdr:col>15</xdr:col>
      <xdr:colOff>416719</xdr:colOff>
      <xdr:row>4</xdr:row>
      <xdr:rowOff>69453</xdr:rowOff>
    </xdr:from>
    <xdr:to>
      <xdr:col>16</xdr:col>
      <xdr:colOff>99219</xdr:colOff>
      <xdr:row>5</xdr:row>
      <xdr:rowOff>168673</xdr:rowOff>
    </xdr:to>
    <xdr:pic>
      <xdr:nvPicPr>
        <xdr:cNvPr id="142" name="Graphic 141" descr="Garbage">
          <a:extLst>
            <a:ext uri="{FF2B5EF4-FFF2-40B4-BE49-F238E27FC236}">
              <a16:creationId xmlns:a16="http://schemas.microsoft.com/office/drawing/2014/main" id="{B9B908AA-2833-9041-DFB4-F5C7337AC8E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614297" y="823516"/>
          <a:ext cx="287735" cy="287735"/>
        </a:xfrm>
        <a:prstGeom prst="rect">
          <a:avLst/>
        </a:prstGeom>
      </xdr:spPr>
    </xdr:pic>
    <xdr:clientData/>
  </xdr:twoCellAnchor>
  <xdr:twoCellAnchor editAs="oneCell">
    <xdr:from>
      <xdr:col>19</xdr:col>
      <xdr:colOff>0</xdr:colOff>
      <xdr:row>4</xdr:row>
      <xdr:rowOff>99218</xdr:rowOff>
    </xdr:from>
    <xdr:to>
      <xdr:col>19</xdr:col>
      <xdr:colOff>248047</xdr:colOff>
      <xdr:row>5</xdr:row>
      <xdr:rowOff>158750</xdr:rowOff>
    </xdr:to>
    <xdr:pic>
      <xdr:nvPicPr>
        <xdr:cNvPr id="144" name="Graphic 143" descr="Transfer">
          <a:extLst>
            <a:ext uri="{FF2B5EF4-FFF2-40B4-BE49-F238E27FC236}">
              <a16:creationId xmlns:a16="http://schemas.microsoft.com/office/drawing/2014/main" id="{79484CA5-18B1-7BF2-6DDF-92649C526F1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618516" y="853281"/>
          <a:ext cx="248047" cy="24804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6.89817349537" createdVersion="8" refreshedVersion="8" minRefreshableVersion="3" recordCount="15" xr:uid="{F0BBC6A2-AB31-4C01-9521-88C32ADEFD29}">
  <cacheSource type="worksheet">
    <worksheetSource name="Table1"/>
  </cacheSource>
  <cacheFields count="19">
    <cacheField name="Month" numFmtId="167">
      <sharedItems containsSemiMixedTypes="0" containsNonDate="0" containsDate="1" containsString="0" minDate="2026-01-01T00:00:00" maxDate="2026-03-02T00:00:00" count="3">
        <d v="2026-01-01T00:00:00"/>
        <d v="2026-02-01T00:00:00"/>
        <d v="2026-03-01T00:00:00"/>
      </sharedItems>
      <fieldGroup par="18"/>
    </cacheField>
    <cacheField name="Outlet" numFmtId="40">
      <sharedItems count="5">
        <s v="Outlet A"/>
        <s v="Outlet B"/>
        <s v="Outlet C"/>
        <s v="Outlet D"/>
        <s v="Outlet E"/>
      </sharedItems>
    </cacheField>
    <cacheField name="Actual Sales (RM)" numFmtId="168">
      <sharedItems containsSemiMixedTypes="0" containsString="0" containsNumber="1" containsInteger="1" minValue="152000" maxValue="210540"/>
    </cacheField>
    <cacheField name="Expected Sales (RM)" numFmtId="168">
      <sharedItems containsSemiMixedTypes="0" containsString="0" containsNumber="1" containsInteger="1" minValue="155000" maxValue="205000"/>
    </cacheField>
    <cacheField name="Purchases (RM)" numFmtId="168">
      <sharedItems containsSemiMixedTypes="0" containsString="0" containsNumber="1" containsInteger="1" minValue="49000" maxValue="66000"/>
    </cacheField>
    <cacheField name="Wastage Cost (RM)" numFmtId="168">
      <sharedItems containsSemiMixedTypes="0" containsString="0" containsNumber="1" containsInteger="1" minValue="1900" maxValue="5122"/>
    </cacheField>
    <cacheField name="Transactions" numFmtId="168">
      <sharedItems containsSemiMixedTypes="0" containsString="0" containsNumber="1" containsInteger="1" minValue="13200" maxValue="17400"/>
    </cacheField>
    <cacheField name="Sales Variance (RM)" numFmtId="168">
      <sharedItems containsSemiMixedTypes="0" containsString="0" containsNumber="1" containsInteger="1" minValue="-19770" maxValue="11540"/>
    </cacheField>
    <cacheField name="Sales Variance %" numFmtId="168">
      <sharedItems containsSemiMixedTypes="0" containsString="0" containsNumber="1" minValue="-0.10877777777777778" maxValue="6.5942857142857136E-2"/>
    </cacheField>
    <cacheField name="COGS / Stock Usage (RM)" numFmtId="168">
      <sharedItems containsSemiMixedTypes="0" containsString="0" containsNumber="1" containsInteger="1" minValue="49200" maxValue="64800"/>
    </cacheField>
    <cacheField name="Food Cost %" numFmtId="164">
      <sharedItems containsSemiMixedTypes="0" containsString="0" containsNumber="1" minValue="0.30234802187198456" maxValue="0.34376323912122497"/>
    </cacheField>
    <cacheField name="Food Cost Target %" numFmtId="164">
      <sharedItems containsSemiMixedTypes="0" containsString="0" containsNumber="1" minValue="0.32" maxValue="0.32"/>
    </cacheField>
    <cacheField name="Food Cost Variance (pp)" numFmtId="164">
      <sharedItems containsSemiMixedTypes="0" containsString="0" containsNumber="1" minValue="-1.7651978128015444E-2" maxValue="2.3763239121224966E-2"/>
    </cacheField>
    <cacheField name="Stock Variance (RM)" numFmtId="168">
      <sharedItems containsSemiMixedTypes="0" containsString="0" containsNumber="1" containsInteger="1" minValue="-940" maxValue="-250"/>
    </cacheField>
    <cacheField name="Stock Variance %" numFmtId="164">
      <sharedItems containsSemiMixedTypes="0" containsString="0" containsNumber="1" minValue="-2.9310344827586206E-2" maxValue="-6.9060773480662981E-3"/>
    </cacheField>
    <cacheField name="Wastage %" numFmtId="164">
      <sharedItems containsSemiMixedTypes="0" containsString="0" containsNumber="1" minValue="1.0948531668883659E-2" maxValue="3.099921321793863E-2"/>
    </cacheField>
    <cacheField name="Avg Transaction Value (RM)" numFmtId="166">
      <sharedItems containsSemiMixedTypes="0" containsString="0" containsNumber="1" minValue="11.218181818181819" maxValue="12.21625"/>
    </cacheField>
    <cacheField name="Days (Month)" numFmtId="0" databaseField="0">
      <fieldGroup base="0">
        <rangePr groupBy="days" startDate="2026-01-01T00:00:00" endDate="2026-03-02T00:00:00"/>
        <groupItems count="368">
          <s v="&lt;1/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3/2026"/>
        </groupItems>
      </fieldGroup>
    </cacheField>
    <cacheField name="Months (Month)" numFmtId="0" databaseField="0">
      <fieldGroup base="0">
        <rangePr groupBy="months" startDate="2026-01-01T00:00:00" endDate="2026-03-02T00:00:00"/>
        <groupItems count="14">
          <s v="&lt;1/1/2026"/>
          <s v="Jan"/>
          <s v="Feb"/>
          <s v="Mar"/>
          <s v="Apr"/>
          <s v="May"/>
          <s v="Jun"/>
          <s v="Jul"/>
          <s v="Aug"/>
          <s v="Sep"/>
          <s v="Oct"/>
          <s v="Nov"/>
          <s v="Dec"/>
          <s v="&gt;2/3/2026"/>
        </groupItems>
      </fieldGroup>
    </cacheField>
  </cacheFields>
  <extLst>
    <ext xmlns:x14="http://schemas.microsoft.com/office/spreadsheetml/2009/9/main" uri="{725AE2AE-9491-48be-B2B4-4EB974FC3084}">
      <x14:pivotCacheDefinition pivotCacheId="1366287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n v="152000"/>
    <n v="155000"/>
    <n v="52000"/>
    <n v="1900"/>
    <n v="13200"/>
    <n v="-3000"/>
    <n v="-1.935483870967742E-2"/>
    <n v="49200"/>
    <n v="0.3236842105263158"/>
    <n v="0.32"/>
    <n v="3.6842105263157898E-3"/>
    <n v="-250"/>
    <n v="-7.9365079365079361E-3"/>
    <n v="1.2500000000000001E-2"/>
    <n v="11.515151515151516"/>
  </r>
  <r>
    <x v="1"/>
    <x v="0"/>
    <n v="160420"/>
    <n v="160000"/>
    <n v="53500"/>
    <n v="1950"/>
    <n v="13800"/>
    <n v="420"/>
    <n v="2.6250000000000002E-3"/>
    <n v="51800"/>
    <n v="0.32290238124922077"/>
    <n v="0.32"/>
    <n v="2.9023812492207646E-3"/>
    <n v="-250"/>
    <n v="-7.4183976261127599E-3"/>
    <n v="1.2155591572123177E-2"/>
    <n v="11.62463768115942"/>
  </r>
  <r>
    <x v="2"/>
    <x v="0"/>
    <n v="180450"/>
    <n v="175000"/>
    <n v="56000"/>
    <n v="2165"/>
    <n v="14900"/>
    <n v="5450"/>
    <n v="3.1142857142857142E-2"/>
    <n v="55000"/>
    <n v="0.30479357162648935"/>
    <n v="0.32"/>
    <n v="-1.5206428373510661E-2"/>
    <n v="-280"/>
    <n v="-8.0459770114942528E-3"/>
    <n v="1.199778331947908E-2"/>
    <n v="12.110738255033556"/>
  </r>
  <r>
    <x v="0"/>
    <x v="1"/>
    <n v="158000"/>
    <n v="175000"/>
    <n v="49000"/>
    <n v="3000"/>
    <n v="14000"/>
    <n v="-17000"/>
    <n v="-9.7142857142857142E-2"/>
    <n v="50500"/>
    <n v="0.31962025316455694"/>
    <n v="0.32"/>
    <n v="-3.797468354430622E-4"/>
    <n v="-850"/>
    <n v="-2.9310344827586206E-2"/>
    <n v="1.8987341772151899E-2"/>
    <n v="11.285714285714286"/>
  </r>
  <r>
    <x v="1"/>
    <x v="1"/>
    <n v="160420"/>
    <n v="180000"/>
    <n v="52000"/>
    <n v="3040"/>
    <n v="14300"/>
    <n v="-19580"/>
    <n v="-0.10877777777777778"/>
    <n v="50500"/>
    <n v="0.31479865353447201"/>
    <n v="0.32"/>
    <n v="-5.2013464655280006E-3"/>
    <n v="-880"/>
    <n v="-2.838709677419355E-2"/>
    <n v="1.895025557910485E-2"/>
    <n v="11.218181818181819"/>
  </r>
  <r>
    <x v="2"/>
    <x v="1"/>
    <n v="165230"/>
    <n v="185000"/>
    <n v="59000"/>
    <n v="5122"/>
    <n v="14550"/>
    <n v="-19770"/>
    <n v="-0.10686486486486486"/>
    <n v="56800"/>
    <n v="0.34376323912122497"/>
    <n v="0.32"/>
    <n v="2.3763239121224966E-2"/>
    <n v="-940"/>
    <n v="-2.8059701492537312E-2"/>
    <n v="3.099921321793863E-2"/>
    <n v="11.356013745704468"/>
  </r>
  <r>
    <x v="0"/>
    <x v="2"/>
    <n v="189550"/>
    <n v="190000"/>
    <n v="61000"/>
    <n v="2654"/>
    <n v="16000"/>
    <n v="-450"/>
    <n v="-2.3684210526315791E-3"/>
    <n v="59900"/>
    <n v="0.3160116064362965"/>
    <n v="0.32"/>
    <n v="-3.9883935637035073E-3"/>
    <n v="-320"/>
    <n v="-8.8888888888888889E-3"/>
    <n v="1.4001582695858612E-2"/>
    <n v="11.846875000000001"/>
  </r>
  <r>
    <x v="1"/>
    <x v="2"/>
    <n v="201760"/>
    <n v="200000"/>
    <n v="64000"/>
    <n v="2825"/>
    <n v="16800"/>
    <n v="1760"/>
    <n v="8.8000000000000005E-3"/>
    <n v="61900"/>
    <n v="0.30680015860428234"/>
    <n v="0.32"/>
    <n v="-1.3199841395717671E-2"/>
    <n v="-350"/>
    <n v="-9.0206185567010301E-3"/>
    <n v="1.4001784298176051E-2"/>
    <n v="12.009523809523809"/>
  </r>
  <r>
    <x v="2"/>
    <x v="2"/>
    <n v="210540"/>
    <n v="205000"/>
    <n v="66000"/>
    <n v="2948"/>
    <n v="17400"/>
    <n v="5540"/>
    <n v="2.7024390243902439E-2"/>
    <n v="64800"/>
    <n v="0.30777999430037045"/>
    <n v="0.32"/>
    <n v="-1.2220005699629555E-2"/>
    <n v="-360"/>
    <n v="-8.9552238805970154E-3"/>
    <n v="1.400208986415883E-2"/>
    <n v="12.1"/>
  </r>
  <r>
    <x v="0"/>
    <x v="3"/>
    <n v="162350"/>
    <n v="165000"/>
    <n v="53000"/>
    <n v="3200"/>
    <n v="13700"/>
    <n v="-2650"/>
    <n v="-1.606060606060606E-2"/>
    <n v="51200"/>
    <n v="0.31536803202956576"/>
    <n v="0.32"/>
    <n v="-4.6319679704342476E-3"/>
    <n v="-650"/>
    <n v="-2.0967741935483872E-2"/>
    <n v="1.971050200184786E-2"/>
    <n v="11.850364963503649"/>
  </r>
  <r>
    <x v="1"/>
    <x v="3"/>
    <n v="170820"/>
    <n v="170000"/>
    <n v="56000"/>
    <n v="3500"/>
    <n v="14400"/>
    <n v="820"/>
    <n v="4.8235294117647057E-3"/>
    <n v="54400"/>
    <n v="0.3184638801077157"/>
    <n v="0.32"/>
    <n v="-1.5361198922843045E-3"/>
    <n v="-720"/>
    <n v="-2.181818181818182E-2"/>
    <n v="2.0489404051047887E-2"/>
    <n v="11.862500000000001"/>
  </r>
  <r>
    <x v="2"/>
    <x v="3"/>
    <n v="186540"/>
    <n v="175000"/>
    <n v="62000"/>
    <n v="5037"/>
    <n v="15300"/>
    <n v="11540"/>
    <n v="6.5942857142857136E-2"/>
    <n v="60600"/>
    <n v="0.32486330009649406"/>
    <n v="0.32"/>
    <n v="4.8633000964940498E-3"/>
    <n v="-725"/>
    <n v="-2.1014492753623187E-2"/>
    <n v="2.700225152782245E-2"/>
    <n v="12.192156862745097"/>
  </r>
  <r>
    <x v="0"/>
    <x v="4"/>
    <n v="172300"/>
    <n v="170000"/>
    <n v="55000"/>
    <n v="1900"/>
    <n v="14600"/>
    <n v="2300"/>
    <n v="1.3529411764705882E-2"/>
    <n v="53700"/>
    <n v="0.31166569936157862"/>
    <n v="0.32"/>
    <n v="-8.334300638421388E-3"/>
    <n v="-250"/>
    <n v="-7.575757575757576E-3"/>
    <n v="1.1027278003482298E-2"/>
    <n v="11.801369863013699"/>
  </r>
  <r>
    <x v="1"/>
    <x v="4"/>
    <n v="186540"/>
    <n v="180000"/>
    <n v="58000"/>
    <n v="2050"/>
    <n v="15300"/>
    <n v="6540"/>
    <n v="3.6333333333333336E-2"/>
    <n v="56400"/>
    <n v="0.30234802187198456"/>
    <n v="0.32"/>
    <n v="-1.7651978128015444E-2"/>
    <n v="-300"/>
    <n v="-8.5714285714285719E-3"/>
    <n v="1.0989600085772488E-2"/>
    <n v="12.192156862745097"/>
  </r>
  <r>
    <x v="2"/>
    <x v="4"/>
    <n v="195460"/>
    <n v="190000"/>
    <n v="61000"/>
    <n v="2140"/>
    <n v="16000"/>
    <n v="5460"/>
    <n v="2.8736842105263158E-2"/>
    <n v="59900"/>
    <n v="0.30645656400286503"/>
    <n v="0.32"/>
    <n v="-1.3543435997134978E-2"/>
    <n v="-250"/>
    <n v="-6.9060773480662981E-3"/>
    <n v="1.0948531668883659E-2"/>
    <n v="12.21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83277F-FD04-41F6-B605-EF5DD679A8E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9">
    <pivotField numFmtId="167" showAll="0">
      <items count="4">
        <item x="0"/>
        <item x="1"/>
        <item x="2"/>
        <item t="default"/>
      </items>
    </pivotField>
    <pivotField showAll="0">
      <items count="6">
        <item x="0"/>
        <item x="1"/>
        <item x="2"/>
        <item x="3"/>
        <item x="4"/>
        <item t="default"/>
      </items>
    </pivotField>
    <pivotField numFmtId="165" showAll="0"/>
    <pivotField numFmtId="168" showAll="0"/>
    <pivotField numFmtId="168" showAll="0"/>
    <pivotField numFmtId="168" showAll="0"/>
    <pivotField dataField="1" numFmtId="168" showAll="0"/>
    <pivotField numFmtId="165" showAll="0"/>
    <pivotField numFmtId="164" showAll="0"/>
    <pivotField numFmtId="165" showAll="0"/>
    <pivotField numFmtId="164" showAll="0"/>
    <pivotField numFmtId="164" showAll="0"/>
    <pivotField numFmtId="164" showAll="0"/>
    <pivotField numFmtId="165"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Transactions" fld="6"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ECC280-3D26-472A-A519-152AD41D789B}"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Outlet" colHeaderCaption="Month">
  <location ref="A48:D53" firstHeaderRow="0" firstDataRow="1" firstDataCol="1"/>
  <pivotFields count="19">
    <pivotField numFmtId="167" showAll="0">
      <items count="4">
        <item x="0"/>
        <item x="1"/>
        <item x="2"/>
        <item t="default"/>
      </items>
    </pivotField>
    <pivotField axis="axisRow" showAll="0">
      <items count="6">
        <item x="0"/>
        <item x="1"/>
        <item x="2"/>
        <item x="3"/>
        <item x="4"/>
        <item t="default"/>
      </items>
    </pivotField>
    <pivotField dataField="1" numFmtId="165" showAll="0"/>
    <pivotField numFmtId="168" showAll="0"/>
    <pivotField dataField="1" numFmtId="168" showAll="0"/>
    <pivotField numFmtId="168" showAll="0"/>
    <pivotField numFmtId="168" showAll="0"/>
    <pivotField numFmtId="165" showAll="0"/>
    <pivotField numFmtId="164" showAll="0"/>
    <pivotField dataField="1" numFmtId="165" showAll="0"/>
    <pivotField numFmtId="164" showAll="0"/>
    <pivotField numFmtId="164" showAll="0"/>
    <pivotField numFmtId="164" showAll="0"/>
    <pivotField numFmtId="165" showAll="0"/>
    <pivotField numFmtId="164" showAll="0"/>
    <pivotField numFmtId="164"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x v="4"/>
    </i>
  </rowItems>
  <colFields count="1">
    <field x="-2"/>
  </colFields>
  <colItems count="3">
    <i>
      <x/>
    </i>
    <i i="1">
      <x v="1"/>
    </i>
    <i i="2">
      <x v="2"/>
    </i>
  </colItems>
  <dataFields count="3">
    <dataField name=" Sales    " fld="2" baseField="0" baseItem="0" numFmtId="170"/>
    <dataField name=" Purchases " fld="4" baseField="0" baseItem="0" numFmtId="168"/>
    <dataField name=" Usage " fld="9" baseField="0" baseItem="0" numFmtId="165"/>
  </dataFields>
  <formats count="2">
    <format dxfId="3">
      <pivotArea outline="0" collapsedLevelsAreSubtotals="1" fieldPosition="0"/>
    </format>
    <format dxfId="2">
      <pivotArea outline="0" fieldPosition="0">
        <references count="1">
          <reference field="4294967294" count="1">
            <x v="0"/>
          </reference>
        </references>
      </pivotArea>
    </format>
  </formats>
  <chartFormats count="12">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7EEF28-8BC7-4DEC-B912-224C85AB33F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numFmtId="167" showAll="0">
      <items count="4">
        <item x="0"/>
        <item x="1"/>
        <item x="2"/>
        <item t="default"/>
      </items>
    </pivotField>
    <pivotField showAll="0">
      <items count="6">
        <item x="0"/>
        <item x="1"/>
        <item x="2"/>
        <item x="3"/>
        <item x="4"/>
        <item t="default"/>
      </items>
    </pivotField>
    <pivotField dataField="1" numFmtId="165" showAll="0"/>
    <pivotField numFmtId="168" showAll="0"/>
    <pivotField numFmtId="168" showAll="0"/>
    <pivotField numFmtId="168" showAll="0"/>
    <pivotField numFmtId="168" showAll="0"/>
    <pivotField numFmtId="165" showAll="0"/>
    <pivotField numFmtId="164" showAll="0"/>
    <pivotField numFmtId="165" showAll="0"/>
    <pivotField numFmtId="164" showAll="0"/>
    <pivotField numFmtId="164" showAll="0"/>
    <pivotField numFmtId="164" showAll="0"/>
    <pivotField numFmtId="165"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 fld="2" baseField="0" baseItem="0" numFmtId="168"/>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C4865E-B017-4C73-9923-5A83B9942DB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9">
    <pivotField numFmtId="167" showAll="0">
      <items count="4">
        <item x="0"/>
        <item x="1"/>
        <item x="2"/>
        <item t="default"/>
      </items>
    </pivotField>
    <pivotField showAll="0">
      <items count="6">
        <item x="0"/>
        <item x="1"/>
        <item x="2"/>
        <item x="3"/>
        <item x="4"/>
        <item t="default"/>
      </items>
    </pivotField>
    <pivotField numFmtId="165" showAll="0"/>
    <pivotField numFmtId="168" showAll="0"/>
    <pivotField numFmtId="168" showAll="0"/>
    <pivotField numFmtId="168" showAll="0"/>
    <pivotField numFmtId="168" showAll="0"/>
    <pivotField numFmtId="165" showAll="0"/>
    <pivotField numFmtId="164" showAll="0"/>
    <pivotField numFmtId="165" showAll="0"/>
    <pivotField numFmtId="164" showAll="0"/>
    <pivotField numFmtId="164" showAll="0"/>
    <pivotField numFmtId="164" showAll="0"/>
    <pivotField dataField="1" numFmtId="165"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 Stock Variance " fld="13" baseField="0" baseItem="0" numFmtId="168"/>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015918-EB3B-4A37-A8A1-BBD7A76A01B1}"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Outlet" colHeaderCaption="Month">
  <location ref="A22:D28" firstHeaderRow="1" firstDataRow="2" firstDataCol="1"/>
  <pivotFields count="19">
    <pivotField numFmtId="167" showAll="0">
      <items count="4">
        <item x="0"/>
        <item x="1"/>
        <item x="2"/>
        <item t="default"/>
      </items>
    </pivotField>
    <pivotField axis="axisRow" showAll="0">
      <items count="6">
        <item x="0"/>
        <item x="1"/>
        <item x="2"/>
        <item x="3"/>
        <item x="4"/>
        <item t="default"/>
      </items>
    </pivotField>
    <pivotField dataField="1" numFmtId="165" showAll="0"/>
    <pivotField numFmtId="168" showAll="0"/>
    <pivotField numFmtId="168" showAll="0"/>
    <pivotField numFmtId="168" showAll="0"/>
    <pivotField numFmtId="168" showAll="0"/>
    <pivotField numFmtId="165" showAll="0"/>
    <pivotField numFmtId="164" showAll="0"/>
    <pivotField numFmtId="165" showAll="0"/>
    <pivotField numFmtId="164" showAll="0"/>
    <pivotField numFmtId="164" showAll="0"/>
    <pivotField numFmtId="164" showAll="0"/>
    <pivotField numFmtId="165" showAll="0"/>
    <pivotField numFmtId="164" showAll="0"/>
    <pivotField numFmtId="164"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x v="4"/>
    </i>
  </rowItems>
  <colFields count="1">
    <field x="18"/>
  </colFields>
  <colItems count="3">
    <i>
      <x v="1"/>
    </i>
    <i>
      <x v="2"/>
    </i>
    <i>
      <x v="3"/>
    </i>
  </colItems>
  <dataFields count="1">
    <dataField name="Total Sales  " fld="2" baseField="0" baseItem="0" numFmtId="168"/>
  </dataFields>
  <formats count="1">
    <format dxfId="6">
      <pivotArea outline="0" collapsedLevelsAreSubtotals="1" fieldPosition="0"/>
    </format>
  </formats>
  <chartFormats count="20">
    <chartFormat chart="3" format="6" series="1">
      <pivotArea type="data" outline="0" fieldPosition="0">
        <references count="2">
          <reference field="4294967294" count="1" selected="0">
            <x v="0"/>
          </reference>
          <reference field="18" count="1" selected="0">
            <x v="1"/>
          </reference>
        </references>
      </pivotArea>
    </chartFormat>
    <chartFormat chart="3" format="7" series="1">
      <pivotArea type="data" outline="0" fieldPosition="0">
        <references count="2">
          <reference field="4294967294" count="1" selected="0">
            <x v="0"/>
          </reference>
          <reference field="18" count="1" selected="0">
            <x v="2"/>
          </reference>
        </references>
      </pivotArea>
    </chartFormat>
    <chartFormat chart="3" format="8" series="1">
      <pivotArea type="data" outline="0" fieldPosition="0">
        <references count="2">
          <reference field="4294967294" count="1" selected="0">
            <x v="0"/>
          </reference>
          <reference field="18" count="1" selected="0">
            <x v="3"/>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1">
          <reference field="4294967294" count="1" selected="0">
            <x v="0"/>
          </reference>
        </references>
      </pivotArea>
    </chartFormat>
    <chartFormat chart="3" format="11">
      <pivotArea type="data" outline="0" fieldPosition="0">
        <references count="3">
          <reference field="4294967294" count="1" selected="0">
            <x v="0"/>
          </reference>
          <reference field="1" count="1" selected="0">
            <x v="0"/>
          </reference>
          <reference field="18" count="1" selected="0">
            <x v="1"/>
          </reference>
        </references>
      </pivotArea>
    </chartFormat>
    <chartFormat chart="3" format="12">
      <pivotArea type="data" outline="0" fieldPosition="0">
        <references count="3">
          <reference field="4294967294" count="1" selected="0">
            <x v="0"/>
          </reference>
          <reference field="1" count="1" selected="0">
            <x v="1"/>
          </reference>
          <reference field="18" count="1" selected="0">
            <x v="1"/>
          </reference>
        </references>
      </pivotArea>
    </chartFormat>
    <chartFormat chart="3" format="13">
      <pivotArea type="data" outline="0" fieldPosition="0">
        <references count="3">
          <reference field="4294967294" count="1" selected="0">
            <x v="0"/>
          </reference>
          <reference field="1" count="1" selected="0">
            <x v="2"/>
          </reference>
          <reference field="18" count="1" selected="0">
            <x v="1"/>
          </reference>
        </references>
      </pivotArea>
    </chartFormat>
    <chartFormat chart="3" format="14">
      <pivotArea type="data" outline="0" fieldPosition="0">
        <references count="3">
          <reference field="4294967294" count="1" selected="0">
            <x v="0"/>
          </reference>
          <reference field="1" count="1" selected="0">
            <x v="3"/>
          </reference>
          <reference field="18" count="1" selected="0">
            <x v="1"/>
          </reference>
        </references>
      </pivotArea>
    </chartFormat>
    <chartFormat chart="3" format="15">
      <pivotArea type="data" outline="0" fieldPosition="0">
        <references count="3">
          <reference field="4294967294" count="1" selected="0">
            <x v="0"/>
          </reference>
          <reference field="1" count="1" selected="0">
            <x v="4"/>
          </reference>
          <reference field="18" count="1" selected="0">
            <x v="1"/>
          </reference>
        </references>
      </pivotArea>
    </chartFormat>
    <chartFormat chart="3" format="16">
      <pivotArea type="data" outline="0" fieldPosition="0">
        <references count="3">
          <reference field="4294967294" count="1" selected="0">
            <x v="0"/>
          </reference>
          <reference field="1" count="1" selected="0">
            <x v="0"/>
          </reference>
          <reference field="18" count="1" selected="0">
            <x v="2"/>
          </reference>
        </references>
      </pivotArea>
    </chartFormat>
    <chartFormat chart="3" format="17">
      <pivotArea type="data" outline="0" fieldPosition="0">
        <references count="3">
          <reference field="4294967294" count="1" selected="0">
            <x v="0"/>
          </reference>
          <reference field="1" count="1" selected="0">
            <x v="1"/>
          </reference>
          <reference field="18" count="1" selected="0">
            <x v="2"/>
          </reference>
        </references>
      </pivotArea>
    </chartFormat>
    <chartFormat chart="3" format="18">
      <pivotArea type="data" outline="0" fieldPosition="0">
        <references count="3">
          <reference field="4294967294" count="1" selected="0">
            <x v="0"/>
          </reference>
          <reference field="1" count="1" selected="0">
            <x v="2"/>
          </reference>
          <reference field="18" count="1" selected="0">
            <x v="2"/>
          </reference>
        </references>
      </pivotArea>
    </chartFormat>
    <chartFormat chart="3" format="19">
      <pivotArea type="data" outline="0" fieldPosition="0">
        <references count="3">
          <reference field="4294967294" count="1" selected="0">
            <x v="0"/>
          </reference>
          <reference field="1" count="1" selected="0">
            <x v="3"/>
          </reference>
          <reference field="18" count="1" selected="0">
            <x v="2"/>
          </reference>
        </references>
      </pivotArea>
    </chartFormat>
    <chartFormat chart="3" format="20">
      <pivotArea type="data" outline="0" fieldPosition="0">
        <references count="3">
          <reference field="4294967294" count="1" selected="0">
            <x v="0"/>
          </reference>
          <reference field="1" count="1" selected="0">
            <x v="4"/>
          </reference>
          <reference field="18" count="1" selected="0">
            <x v="2"/>
          </reference>
        </references>
      </pivotArea>
    </chartFormat>
    <chartFormat chart="3" format="21">
      <pivotArea type="data" outline="0" fieldPosition="0">
        <references count="3">
          <reference field="4294967294" count="1" selected="0">
            <x v="0"/>
          </reference>
          <reference field="1" count="1" selected="0">
            <x v="0"/>
          </reference>
          <reference field="18" count="1" selected="0">
            <x v="3"/>
          </reference>
        </references>
      </pivotArea>
    </chartFormat>
    <chartFormat chart="3" format="22">
      <pivotArea type="data" outline="0" fieldPosition="0">
        <references count="3">
          <reference field="4294967294" count="1" selected="0">
            <x v="0"/>
          </reference>
          <reference field="1" count="1" selected="0">
            <x v="1"/>
          </reference>
          <reference field="18" count="1" selected="0">
            <x v="3"/>
          </reference>
        </references>
      </pivotArea>
    </chartFormat>
    <chartFormat chart="3" format="23">
      <pivotArea type="data" outline="0" fieldPosition="0">
        <references count="3">
          <reference field="4294967294" count="1" selected="0">
            <x v="0"/>
          </reference>
          <reference field="1" count="1" selected="0">
            <x v="2"/>
          </reference>
          <reference field="18" count="1" selected="0">
            <x v="3"/>
          </reference>
        </references>
      </pivotArea>
    </chartFormat>
    <chartFormat chart="3" format="24">
      <pivotArea type="data" outline="0" fieldPosition="0">
        <references count="3">
          <reference field="4294967294" count="1" selected="0">
            <x v="0"/>
          </reference>
          <reference field="1" count="1" selected="0">
            <x v="3"/>
          </reference>
          <reference field="18" count="1" selected="0">
            <x v="3"/>
          </reference>
        </references>
      </pivotArea>
    </chartFormat>
    <chartFormat chart="3" format="25">
      <pivotArea type="data" outline="0" fieldPosition="0">
        <references count="3">
          <reference field="4294967294" count="1" selected="0">
            <x v="0"/>
          </reference>
          <reference field="1" count="1" selected="0">
            <x v="4"/>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5483AE-233F-41DE-848E-BAAB850C0476}"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utlet" colHeaderCaption="Month">
  <location ref="A40:B45" firstHeaderRow="1" firstDataRow="1" firstDataCol="1"/>
  <pivotFields count="19">
    <pivotField numFmtId="167" showAll="0">
      <items count="4">
        <item x="0"/>
        <item x="1"/>
        <item x="2"/>
        <item t="default"/>
      </items>
    </pivotField>
    <pivotField axis="axisRow" showAll="0">
      <items count="6">
        <item x="0"/>
        <item x="1"/>
        <item x="2"/>
        <item x="3"/>
        <item x="4"/>
        <item t="default"/>
      </items>
    </pivotField>
    <pivotField dataField="1" numFmtId="165" showAll="0"/>
    <pivotField numFmtId="168" showAll="0"/>
    <pivotField numFmtId="168" showAll="0"/>
    <pivotField numFmtId="168" showAll="0"/>
    <pivotField numFmtId="168" showAll="0"/>
    <pivotField numFmtId="165" showAll="0"/>
    <pivotField numFmtId="164" showAll="0"/>
    <pivotField numFmtId="165" showAll="0"/>
    <pivotField numFmtId="164" showAll="0"/>
    <pivotField numFmtId="164" showAll="0"/>
    <pivotField numFmtId="164" showAll="0"/>
    <pivotField numFmtId="165" showAll="0"/>
    <pivotField numFmtId="164" showAll="0"/>
    <pivotField numFmtId="164"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x v="4"/>
    </i>
  </rowItems>
  <colItems count="1">
    <i/>
  </colItems>
  <dataFields count="1">
    <dataField name="Total Sales    " fld="2" showDataAs="percentOfTotal" baseField="0" baseItem="0" numFmtId="10"/>
  </dataFields>
  <formats count="2">
    <format dxfId="8">
      <pivotArea outline="0" collapsedLevelsAreSubtotals="1" fieldPosition="0"/>
    </format>
    <format dxfId="7">
      <pivotArea outline="0" fieldPosition="0">
        <references count="1">
          <reference field="4294967294" count="1">
            <x v="0"/>
          </reference>
        </references>
      </pivotArea>
    </format>
  </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5F9285-2294-45CD-9296-AF9A7FE140DE}" name="PivotTable2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utlet" colHeaderCaption="Month">
  <location ref="A64:D69" firstHeaderRow="0" firstDataRow="1" firstDataCol="1"/>
  <pivotFields count="19">
    <pivotField numFmtId="167" showAll="0">
      <items count="4">
        <item x="0"/>
        <item x="1"/>
        <item x="2"/>
        <item t="default"/>
      </items>
    </pivotField>
    <pivotField axis="axisRow" showAll="0" sortType="ascending">
      <items count="6">
        <item x="0"/>
        <item x="1"/>
        <item x="2"/>
        <item x="3"/>
        <item x="4"/>
        <item t="default"/>
      </items>
      <autoSortScope>
        <pivotArea dataOnly="0" outline="0" fieldPosition="0">
          <references count="1">
            <reference field="4294967294" count="1" selected="0">
              <x v="2"/>
            </reference>
          </references>
        </pivotArea>
      </autoSortScope>
    </pivotField>
    <pivotField dataField="1" numFmtId="165" showAll="0"/>
    <pivotField dataField="1" numFmtId="168" showAll="0"/>
    <pivotField numFmtId="168" showAll="0"/>
    <pivotField numFmtId="168" showAll="0"/>
    <pivotField numFmtId="168" showAll="0"/>
    <pivotField dataField="1" numFmtId="165" showAll="0"/>
    <pivotField numFmtId="164" showAll="0"/>
    <pivotField numFmtId="165" showAll="0"/>
    <pivotField numFmtId="164" showAll="0"/>
    <pivotField numFmtId="164" showAll="0"/>
    <pivotField numFmtId="164" showAll="0"/>
    <pivotField numFmtId="165" showAll="0"/>
    <pivotField numFmtId="164" showAll="0"/>
    <pivotField numFmtId="164"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v="1"/>
    </i>
    <i>
      <x/>
    </i>
    <i>
      <x v="2"/>
    </i>
    <i>
      <x v="3"/>
    </i>
    <i>
      <x v="4"/>
    </i>
  </rowItems>
  <colFields count="1">
    <field x="-2"/>
  </colFields>
  <colItems count="3">
    <i>
      <x/>
    </i>
    <i i="1">
      <x v="1"/>
    </i>
    <i i="2">
      <x v="2"/>
    </i>
  </colItems>
  <dataFields count="3">
    <dataField name="Total Sales    " fld="2" baseField="0" baseItem="0" numFmtId="170"/>
    <dataField name=" Expected Sales " fld="3" baseField="0" baseItem="0" numFmtId="168"/>
    <dataField name="Sales Variance " fld="7" baseField="0" baseItem="0" numFmtId="165"/>
  </dataFields>
  <formats count="2">
    <format dxfId="10">
      <pivotArea outline="0" collapsedLevelsAreSubtotals="1" fieldPosition="0"/>
    </format>
    <format dxfId="9">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1">
            <reference field="4294967294" count="1" selected="0">
              <x v="2"/>
            </reference>
          </references>
        </pivotArea>
      </pivotAreas>
    </conditionalFormat>
  </conditional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46C454-B23B-40B3-B26D-A693F9576927}"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Outlet" colHeaderCaption="Month">
  <location ref="A31:F35" firstHeaderRow="1" firstDataRow="2" firstDataCol="1"/>
  <pivotFields count="19">
    <pivotField numFmtId="167" showAll="0">
      <items count="4">
        <item x="0"/>
        <item x="1"/>
        <item x="2"/>
        <item t="default"/>
      </items>
    </pivotField>
    <pivotField axis="axisCol" showAll="0">
      <items count="6">
        <item x="0"/>
        <item x="1"/>
        <item x="2"/>
        <item x="3"/>
        <item x="4"/>
        <item t="default"/>
      </items>
    </pivotField>
    <pivotField numFmtId="165" showAll="0"/>
    <pivotField numFmtId="168" showAll="0"/>
    <pivotField numFmtId="168" showAll="0"/>
    <pivotField numFmtId="168" showAll="0"/>
    <pivotField numFmtId="168" showAll="0"/>
    <pivotField numFmtId="165" showAll="0"/>
    <pivotField numFmtId="164" showAll="0"/>
    <pivotField numFmtId="165" showAll="0"/>
    <pivotField dataField="1" numFmtId="164" showAll="0"/>
    <pivotField numFmtId="164" showAll="0"/>
    <pivotField numFmtId="164" showAll="0"/>
    <pivotField numFmtId="165" showAll="0"/>
    <pivotField numFmtId="164" showAll="0"/>
    <pivotField numFmtId="164"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3">
    <i>
      <x v="1"/>
    </i>
    <i>
      <x v="2"/>
    </i>
    <i>
      <x v="3"/>
    </i>
  </rowItems>
  <colFields count="1">
    <field x="1"/>
  </colFields>
  <colItems count="5">
    <i>
      <x/>
    </i>
    <i>
      <x v="1"/>
    </i>
    <i>
      <x v="2"/>
    </i>
    <i>
      <x v="3"/>
    </i>
    <i>
      <x v="4"/>
    </i>
  </colItems>
  <dataFields count="1">
    <dataField name=" Food Cost %" fld="10" baseField="0" baseItem="0" numFmtId="169"/>
  </dataFields>
  <formats count="1">
    <format dxfId="11">
      <pivotArea outline="0" collapsedLevelsAreSubtotals="1" fieldPosition="0"/>
    </format>
  </formats>
  <chartFormats count="12">
    <chartFormat chart="11" format="10" series="1">
      <pivotArea type="data" outline="0" fieldPosition="0">
        <references count="2">
          <reference field="4294967294" count="1" selected="0">
            <x v="0"/>
          </reference>
          <reference field="1" count="1" selected="0">
            <x v="0"/>
          </reference>
        </references>
      </pivotArea>
    </chartFormat>
    <chartFormat chart="11" format="11" series="1">
      <pivotArea type="data" outline="0" fieldPosition="0">
        <references count="2">
          <reference field="4294967294" count="1" selected="0">
            <x v="0"/>
          </reference>
          <reference field="1" count="1" selected="0">
            <x v="1"/>
          </reference>
        </references>
      </pivotArea>
    </chartFormat>
    <chartFormat chart="11" format="12" series="1">
      <pivotArea type="data" outline="0" fieldPosition="0">
        <references count="2">
          <reference field="4294967294" count="1" selected="0">
            <x v="0"/>
          </reference>
          <reference field="1" count="1" selected="0">
            <x v="2"/>
          </reference>
        </references>
      </pivotArea>
    </chartFormat>
    <chartFormat chart="11" format="13" series="1">
      <pivotArea type="data" outline="0" fieldPosition="0">
        <references count="2">
          <reference field="4294967294" count="1" selected="0">
            <x v="0"/>
          </reference>
          <reference field="1" count="1" selected="0">
            <x v="3"/>
          </reference>
        </references>
      </pivotArea>
    </chartFormat>
    <chartFormat chart="11" format="14" series="1">
      <pivotArea type="data" outline="0" fieldPosition="0">
        <references count="2">
          <reference field="4294967294" count="1" selected="0">
            <x v="0"/>
          </reference>
          <reference field="1" count="1" selected="0">
            <x v="4"/>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18" count="1" selected="0">
            <x v="1"/>
          </reference>
        </references>
      </pivotArea>
    </chartFormat>
    <chartFormat chart="11" format="17">
      <pivotArea type="data" outline="0" fieldPosition="0">
        <references count="3">
          <reference field="4294967294" count="1" selected="0">
            <x v="0"/>
          </reference>
          <reference field="1" count="1" selected="0">
            <x v="0"/>
          </reference>
          <reference field="18" count="1" selected="0">
            <x v="1"/>
          </reference>
        </references>
      </pivotArea>
    </chartFormat>
    <chartFormat chart="11" format="18">
      <pivotArea type="data" outline="0" fieldPosition="0">
        <references count="3">
          <reference field="4294967294" count="1" selected="0">
            <x v="0"/>
          </reference>
          <reference field="1" count="1" selected="0">
            <x v="1"/>
          </reference>
          <reference field="18" count="1" selected="0">
            <x v="1"/>
          </reference>
        </references>
      </pivotArea>
    </chartFormat>
    <chartFormat chart="11" format="19">
      <pivotArea type="data" outline="0" fieldPosition="0">
        <references count="3">
          <reference field="4294967294" count="1" selected="0">
            <x v="0"/>
          </reference>
          <reference field="1" count="1" selected="0">
            <x v="2"/>
          </reference>
          <reference field="18" count="1" selected="0">
            <x v="1"/>
          </reference>
        </references>
      </pivotArea>
    </chartFormat>
    <chartFormat chart="11" format="20">
      <pivotArea type="data" outline="0" fieldPosition="0">
        <references count="3">
          <reference field="4294967294" count="1" selected="0">
            <x v="0"/>
          </reference>
          <reference field="1" count="1" selected="0">
            <x v="3"/>
          </reference>
          <reference field="18" count="1" selected="0">
            <x v="1"/>
          </reference>
        </references>
      </pivotArea>
    </chartFormat>
    <chartFormat chart="11" format="21">
      <pivotArea type="data" outline="0" fieldPosition="0">
        <references count="3">
          <reference field="4294967294" count="1" selected="0">
            <x v="0"/>
          </reference>
          <reference field="1" count="1" selected="0">
            <x v="4"/>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002D16-E0B0-48E1-B443-9D13B91ACD2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9">
    <pivotField numFmtId="167" showAll="0">
      <items count="4">
        <item x="0"/>
        <item x="1"/>
        <item x="2"/>
        <item t="default"/>
      </items>
    </pivotField>
    <pivotField showAll="0">
      <items count="6">
        <item x="0"/>
        <item x="1"/>
        <item x="2"/>
        <item x="3"/>
        <item x="4"/>
        <item t="default"/>
      </items>
    </pivotField>
    <pivotField numFmtId="165" showAll="0"/>
    <pivotField numFmtId="168" showAll="0"/>
    <pivotField numFmtId="168" showAll="0"/>
    <pivotField dataField="1" numFmtId="168" showAll="0"/>
    <pivotField numFmtId="168" showAll="0"/>
    <pivotField numFmtId="165" showAll="0"/>
    <pivotField numFmtId="164" showAll="0"/>
    <pivotField numFmtId="165" showAll="0"/>
    <pivotField numFmtId="164" showAll="0"/>
    <pivotField numFmtId="164" showAll="0"/>
    <pivotField numFmtId="164" showAll="0"/>
    <pivotField numFmtId="165"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 Wastage " fld="5"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5A4AC2-EB7A-436D-822A-F2CE7A3D115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9">
    <pivotField numFmtId="167" showAll="0">
      <items count="4">
        <item x="0"/>
        <item x="1"/>
        <item x="2"/>
        <item t="default"/>
      </items>
    </pivotField>
    <pivotField showAll="0">
      <items count="6">
        <item x="0"/>
        <item x="1"/>
        <item x="2"/>
        <item x="3"/>
        <item x="4"/>
        <item t="default"/>
      </items>
    </pivotField>
    <pivotField numFmtId="165" showAll="0"/>
    <pivotField numFmtId="168" showAll="0"/>
    <pivotField dataField="1" numFmtId="168" showAll="0"/>
    <pivotField numFmtId="168" showAll="0"/>
    <pivotField numFmtId="168" showAll="0"/>
    <pivotField numFmtId="165" showAll="0"/>
    <pivotField numFmtId="164" showAll="0"/>
    <pivotField numFmtId="165" showAll="0"/>
    <pivotField numFmtId="164" showAll="0"/>
    <pivotField numFmtId="164" showAll="0"/>
    <pivotField numFmtId="164" showAll="0"/>
    <pivotField numFmtId="165"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Purchases " fld="4"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49CBA3-0741-46E4-82CE-C7EAB75F6B86}" name="PivotTable2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Outlet" colHeaderCaption="Month">
  <location ref="A56:E61" firstHeaderRow="0" firstDataRow="1" firstDataCol="1"/>
  <pivotFields count="19">
    <pivotField numFmtId="167" showAll="0">
      <items count="4">
        <item x="0"/>
        <item x="1"/>
        <item x="2"/>
        <item t="default"/>
      </items>
    </pivotField>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dataField="1" numFmtId="165" showAll="0"/>
    <pivotField numFmtId="168" showAll="0"/>
    <pivotField numFmtId="168" showAll="0"/>
    <pivotField numFmtId="168" showAll="0"/>
    <pivotField numFmtId="168" showAll="0"/>
    <pivotField numFmtId="165" showAll="0"/>
    <pivotField numFmtId="164" showAll="0"/>
    <pivotField numFmtId="165" showAll="0"/>
    <pivotField dataField="1" numFmtId="164" showAll="0"/>
    <pivotField dataField="1" numFmtId="164" showAll="0"/>
    <pivotField dataField="1" numFmtId="164" showAll="0"/>
    <pivotField numFmtId="165" showAll="0"/>
    <pivotField numFmtId="164" showAll="0"/>
    <pivotField numFmtId="164"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v="2"/>
    </i>
    <i>
      <x v="4"/>
    </i>
    <i>
      <x v="3"/>
    </i>
    <i>
      <x/>
    </i>
    <i>
      <x v="1"/>
    </i>
  </rowItems>
  <colFields count="1">
    <field x="-2"/>
  </colFields>
  <colItems count="4">
    <i>
      <x/>
    </i>
    <i i="1">
      <x v="1"/>
    </i>
    <i i="2">
      <x v="2"/>
    </i>
    <i i="3">
      <x v="3"/>
    </i>
  </colItems>
  <dataFields count="4">
    <dataField name="Total Sales        " fld="2" baseField="0" baseItem="0" numFmtId="170"/>
    <dataField name=" Food Cost %" fld="10" subtotal="average" baseField="1" baseItem="2" numFmtId="164"/>
    <dataField name=" Food Cost Target %" fld="11" subtotal="average" baseField="1" baseItem="2" numFmtId="164"/>
    <dataField name="Food Cost Variance " fld="12" baseField="0" baseItem="0" numFmtId="10"/>
  </dataFields>
  <formats count="1">
    <format dxfId="12">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83F3D5-8258-46C0-8481-E23BFCE881E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9">
    <pivotField numFmtId="167" showAll="0">
      <items count="4">
        <item x="0"/>
        <item x="1"/>
        <item x="2"/>
        <item t="default"/>
      </items>
    </pivotField>
    <pivotField showAll="0">
      <items count="6">
        <item x="0"/>
        <item x="1"/>
        <item x="2"/>
        <item x="3"/>
        <item x="4"/>
        <item t="default"/>
      </items>
    </pivotField>
    <pivotField numFmtId="165" showAll="0"/>
    <pivotField numFmtId="168" showAll="0"/>
    <pivotField numFmtId="168" showAll="0"/>
    <pivotField numFmtId="168" showAll="0"/>
    <pivotField numFmtId="168" showAll="0"/>
    <pivotField numFmtId="165" showAll="0"/>
    <pivotField numFmtId="164" showAll="0"/>
    <pivotField dataField="1" numFmtId="165" showAll="0"/>
    <pivotField numFmtId="164" showAll="0"/>
    <pivotField numFmtId="164" showAll="0"/>
    <pivotField numFmtId="164" showAll="0"/>
    <pivotField numFmtId="165" showAll="0"/>
    <pivotField numFmtId="164" showAll="0"/>
    <pivotField numFmtId="164"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Food Cost" fld="9" baseField="0" baseItem="0" numFmtId="168"/>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A4341BA-31C6-4111-B7D5-7BE822EFE6E1}" sourceName="Month">
  <pivotTables>
    <pivotTable tabId="7" name="PivotTable12"/>
    <pivotTable tabId="7" name="PivotTable13"/>
    <pivotTable tabId="7" name="PivotTable14"/>
    <pivotTable tabId="7" name="PivotTable16"/>
    <pivotTable tabId="7" name="PivotTable17"/>
    <pivotTable tabId="7" name="PivotTable20"/>
    <pivotTable tabId="7" name="PivotTable21"/>
    <pivotTable tabId="7" name="PivotTable22"/>
    <pivotTable tabId="7" name="PivotTable23"/>
    <pivotTable tabId="7" name="PivotTable24"/>
    <pivotTable tabId="7" name="PivotTable28"/>
  </pivotTables>
  <data>
    <tabular pivotCacheId="136628713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 xr10:uid="{64802587-0C5F-4BF0-9294-3CA417B24AA9}" sourceName="Outlet">
  <pivotTables>
    <pivotTable tabId="7" name="PivotTable12"/>
    <pivotTable tabId="7" name="PivotTable13"/>
    <pivotTable tabId="7" name="PivotTable14"/>
    <pivotTable tabId="7" name="PivotTable16"/>
    <pivotTable tabId="7" name="PivotTable17"/>
    <pivotTable tabId="7" name="PivotTable20"/>
    <pivotTable tabId="7" name="PivotTable21"/>
    <pivotTable tabId="7" name="PivotTable22"/>
    <pivotTable tabId="7" name="PivotTable23"/>
    <pivotTable tabId="7" name="PivotTable24"/>
    <pivotTable tabId="7" name="PivotTable26"/>
    <pivotTable tabId="7" name="PivotTable28"/>
  </pivotTables>
  <data>
    <tabular pivotCacheId="1366287137">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FB19071-8DB5-404B-9DBF-3FA2B54FF550}" cache="Slicer_Month" caption="Month" style="SlicerStyleLight3 2" rowHeight="241300"/>
  <slicer name="Outlet" xr10:uid="{1CDD4708-5055-4EB0-983B-EE747BB4E9BC}" cache="Slicer_Outlet" caption="Outlet" style="SlicerStyleLight3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Q16">
  <autoFilter ref="A1:Q16" xr:uid="{00000000-0009-0000-0100-000002000000}"/>
  <tableColumns count="17">
    <tableColumn id="1" xr3:uid="{00000000-0010-0000-0100-000001000000}" name="Month" dataDxfId="25"/>
    <tableColumn id="2" xr3:uid="{00000000-0010-0000-0100-000002000000}" name="Outlet"/>
    <tableColumn id="3" xr3:uid="{00000000-0010-0000-0100-000003000000}" name="Actual Sales (RM)" dataDxfId="24"/>
    <tableColumn id="4" xr3:uid="{00000000-0010-0000-0100-000004000000}" name="Expected Sales (RM)" dataDxfId="23"/>
    <tableColumn id="15" xr3:uid="{A3E55043-9F1F-4A7B-A251-D69A118CC907}" name="Purchases (RM)" dataDxfId="22"/>
    <tableColumn id="19" xr3:uid="{ED97E3B2-1010-4791-841B-1B778A6BA832}" name="Wastage Cost (RM)" dataDxfId="21"/>
    <tableColumn id="18" xr3:uid="{85D77D24-37CB-45C8-AA53-03E4F55DEFE8}" name="Transactions" dataDxfId="20"/>
    <tableColumn id="5" xr3:uid="{00000000-0010-0000-0100-000005000000}" name="Sales Variance (RM)" dataDxfId="19"/>
    <tableColumn id="6" xr3:uid="{00000000-0010-0000-0100-000006000000}" name="Sales Variance %" dataDxfId="18"/>
    <tableColumn id="7" xr3:uid="{00000000-0010-0000-0100-000007000000}" name="COGS / Stock Usage (RM)" dataDxfId="17"/>
    <tableColumn id="8" xr3:uid="{00000000-0010-0000-0100-000008000000}" name="Food Cost %"/>
    <tableColumn id="9" xr3:uid="{00000000-0010-0000-0100-000009000000}" name="Food Cost Target %"/>
    <tableColumn id="10" xr3:uid="{00000000-0010-0000-0100-00000A000000}" name="Food Cost Variance (pp)"/>
    <tableColumn id="11" xr3:uid="{00000000-0010-0000-0100-00000B000000}" name="Stock Variance (RM)" dataDxfId="16"/>
    <tableColumn id="12" xr3:uid="{00000000-0010-0000-0100-00000C000000}" name="Stock Variance %"/>
    <tableColumn id="13" xr3:uid="{00000000-0010-0000-0100-00000D000000}" name="Wastage %"/>
    <tableColumn id="14" xr3:uid="{00000000-0010-0000-0100-00000E000000}" name="Avg Transaction Value (RM)" dataDxfId="15"/>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opLeftCell="F1" workbookViewId="0">
      <pane ySplit="1" topLeftCell="A2" activePane="bottomLeft" state="frozen"/>
      <selection pane="bottomLeft" activeCell="M1" sqref="M1:N1048576"/>
    </sheetView>
  </sheetViews>
  <sheetFormatPr defaultRowHeight="15" x14ac:dyDescent="0.25"/>
  <cols>
    <col min="1" max="2" width="14" customWidth="1"/>
    <col min="3" max="3" width="12" customWidth="1"/>
    <col min="4" max="4" width="16" customWidth="1"/>
    <col min="5" max="6" width="17" customWidth="1"/>
    <col min="7" max="7" width="18" customWidth="1"/>
    <col min="8" max="9" width="16" customWidth="1"/>
    <col min="10" max="12" width="17" customWidth="1"/>
    <col min="13" max="13" width="21" customWidth="1"/>
    <col min="14" max="14" width="22" customWidth="1"/>
    <col min="15" max="15" width="14" customWidth="1"/>
  </cols>
  <sheetData>
    <row r="1" spans="1:15"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8">
        <v>46023</v>
      </c>
      <c r="B2" t="s">
        <v>15</v>
      </c>
      <c r="C2" t="s">
        <v>16</v>
      </c>
      <c r="D2" t="s">
        <v>17</v>
      </c>
      <c r="E2">
        <v>155000</v>
      </c>
      <c r="F2">
        <v>152000</v>
      </c>
      <c r="G2">
        <v>28000</v>
      </c>
      <c r="H2">
        <v>52000</v>
      </c>
      <c r="I2">
        <v>1500</v>
      </c>
      <c r="J2">
        <v>800</v>
      </c>
      <c r="K2">
        <v>31500</v>
      </c>
      <c r="L2">
        <v>1900</v>
      </c>
      <c r="M2">
        <v>31500</v>
      </c>
      <c r="N2">
        <v>31250</v>
      </c>
      <c r="O2">
        <v>13200</v>
      </c>
    </row>
    <row r="3" spans="1:15" x14ac:dyDescent="0.25">
      <c r="A3" s="8">
        <v>46054</v>
      </c>
      <c r="B3" t="s">
        <v>15</v>
      </c>
      <c r="C3" t="s">
        <v>16</v>
      </c>
      <c r="D3" t="s">
        <v>17</v>
      </c>
      <c r="E3">
        <v>160000</v>
      </c>
      <c r="F3">
        <v>160420</v>
      </c>
      <c r="G3">
        <v>31500</v>
      </c>
      <c r="H3">
        <v>53500</v>
      </c>
      <c r="I3">
        <v>1200</v>
      </c>
      <c r="J3">
        <v>700</v>
      </c>
      <c r="K3">
        <v>33700</v>
      </c>
      <c r="L3">
        <v>1950</v>
      </c>
      <c r="M3">
        <v>33700</v>
      </c>
      <c r="N3">
        <v>33450</v>
      </c>
      <c r="O3">
        <v>13800</v>
      </c>
    </row>
    <row r="4" spans="1:15" x14ac:dyDescent="0.25">
      <c r="A4" s="8">
        <v>46082</v>
      </c>
      <c r="B4" t="s">
        <v>15</v>
      </c>
      <c r="C4" t="s">
        <v>16</v>
      </c>
      <c r="D4" t="s">
        <v>17</v>
      </c>
      <c r="E4">
        <v>175000</v>
      </c>
      <c r="F4">
        <v>180450</v>
      </c>
      <c r="G4">
        <v>33700</v>
      </c>
      <c r="H4">
        <v>56000</v>
      </c>
      <c r="I4">
        <v>1000</v>
      </c>
      <c r="J4">
        <v>900</v>
      </c>
      <c r="K4">
        <v>34800</v>
      </c>
      <c r="L4">
        <v>2165</v>
      </c>
      <c r="M4">
        <v>34800</v>
      </c>
      <c r="N4">
        <v>34520</v>
      </c>
      <c r="O4">
        <v>14900</v>
      </c>
    </row>
    <row r="5" spans="1:15" x14ac:dyDescent="0.25">
      <c r="A5" s="8">
        <v>46023</v>
      </c>
      <c r="B5" t="s">
        <v>18</v>
      </c>
      <c r="C5" t="s">
        <v>19</v>
      </c>
      <c r="D5" t="s">
        <v>17</v>
      </c>
      <c r="E5">
        <v>175000</v>
      </c>
      <c r="F5">
        <v>158000</v>
      </c>
      <c r="G5">
        <v>30000</v>
      </c>
      <c r="H5">
        <v>49000</v>
      </c>
      <c r="I5">
        <v>1000</v>
      </c>
      <c r="J5">
        <v>500</v>
      </c>
      <c r="K5">
        <v>29000</v>
      </c>
      <c r="L5">
        <v>3000</v>
      </c>
      <c r="M5">
        <v>29000</v>
      </c>
      <c r="N5">
        <v>28150</v>
      </c>
      <c r="O5">
        <v>14000</v>
      </c>
    </row>
    <row r="6" spans="1:15" x14ac:dyDescent="0.25">
      <c r="A6" s="8">
        <v>46054</v>
      </c>
      <c r="B6" t="s">
        <v>18</v>
      </c>
      <c r="C6" t="s">
        <v>19</v>
      </c>
      <c r="D6" t="s">
        <v>17</v>
      </c>
      <c r="E6">
        <v>180000</v>
      </c>
      <c r="F6">
        <v>160420</v>
      </c>
      <c r="G6">
        <v>29000</v>
      </c>
      <c r="H6">
        <v>52000</v>
      </c>
      <c r="I6">
        <v>1200</v>
      </c>
      <c r="J6">
        <v>700</v>
      </c>
      <c r="K6">
        <v>31000</v>
      </c>
      <c r="L6">
        <v>3040</v>
      </c>
      <c r="M6">
        <v>31000</v>
      </c>
      <c r="N6">
        <v>30120</v>
      </c>
      <c r="O6">
        <v>14300</v>
      </c>
    </row>
    <row r="7" spans="1:15" x14ac:dyDescent="0.25">
      <c r="A7" s="8">
        <v>46082</v>
      </c>
      <c r="B7" t="s">
        <v>18</v>
      </c>
      <c r="C7" t="s">
        <v>19</v>
      </c>
      <c r="D7" t="s">
        <v>17</v>
      </c>
      <c r="E7">
        <v>185000</v>
      </c>
      <c r="F7">
        <v>165230</v>
      </c>
      <c r="G7">
        <v>31000</v>
      </c>
      <c r="H7">
        <v>59000</v>
      </c>
      <c r="I7">
        <v>900</v>
      </c>
      <c r="J7">
        <v>600</v>
      </c>
      <c r="K7">
        <v>33500</v>
      </c>
      <c r="L7">
        <v>5122</v>
      </c>
      <c r="M7">
        <v>33500</v>
      </c>
      <c r="N7">
        <v>32560</v>
      </c>
      <c r="O7">
        <v>14550</v>
      </c>
    </row>
    <row r="8" spans="1:15" x14ac:dyDescent="0.25">
      <c r="A8" s="8">
        <v>46023</v>
      </c>
      <c r="B8" t="s">
        <v>20</v>
      </c>
      <c r="C8" t="s">
        <v>21</v>
      </c>
      <c r="D8" t="s">
        <v>17</v>
      </c>
      <c r="E8">
        <v>190000</v>
      </c>
      <c r="F8">
        <v>189550</v>
      </c>
      <c r="G8">
        <v>34000</v>
      </c>
      <c r="H8">
        <v>61000</v>
      </c>
      <c r="I8">
        <v>1800</v>
      </c>
      <c r="J8">
        <v>900</v>
      </c>
      <c r="K8">
        <v>36000</v>
      </c>
      <c r="L8">
        <v>2654</v>
      </c>
      <c r="M8">
        <v>36000</v>
      </c>
      <c r="N8">
        <v>35680</v>
      </c>
      <c r="O8">
        <v>16000</v>
      </c>
    </row>
    <row r="9" spans="1:15" x14ac:dyDescent="0.25">
      <c r="A9" s="8">
        <v>46054</v>
      </c>
      <c r="B9" t="s">
        <v>20</v>
      </c>
      <c r="C9" t="s">
        <v>21</v>
      </c>
      <c r="D9" t="s">
        <v>17</v>
      </c>
      <c r="E9">
        <v>200000</v>
      </c>
      <c r="F9">
        <v>201760</v>
      </c>
      <c r="G9">
        <v>36000</v>
      </c>
      <c r="H9">
        <v>64000</v>
      </c>
      <c r="I9">
        <v>1500</v>
      </c>
      <c r="J9">
        <v>800</v>
      </c>
      <c r="K9">
        <v>38800</v>
      </c>
      <c r="L9">
        <v>2825</v>
      </c>
      <c r="M9">
        <v>38800</v>
      </c>
      <c r="N9">
        <v>38450</v>
      </c>
      <c r="O9">
        <v>16800</v>
      </c>
    </row>
    <row r="10" spans="1:15" x14ac:dyDescent="0.25">
      <c r="A10" s="8">
        <v>46082</v>
      </c>
      <c r="B10" t="s">
        <v>20</v>
      </c>
      <c r="C10" t="s">
        <v>21</v>
      </c>
      <c r="D10" t="s">
        <v>17</v>
      </c>
      <c r="E10">
        <v>205000</v>
      </c>
      <c r="F10">
        <v>210540</v>
      </c>
      <c r="G10">
        <v>38800</v>
      </c>
      <c r="H10">
        <v>66000</v>
      </c>
      <c r="I10">
        <v>1200</v>
      </c>
      <c r="J10">
        <v>1000</v>
      </c>
      <c r="K10">
        <v>40200</v>
      </c>
      <c r="L10">
        <v>2948</v>
      </c>
      <c r="M10">
        <v>40200</v>
      </c>
      <c r="N10">
        <v>39840</v>
      </c>
      <c r="O10">
        <v>17400</v>
      </c>
    </row>
    <row r="11" spans="1:15" x14ac:dyDescent="0.25">
      <c r="A11" s="8">
        <v>46023</v>
      </c>
      <c r="B11" t="s">
        <v>22</v>
      </c>
      <c r="C11" t="s">
        <v>16</v>
      </c>
      <c r="D11" t="s">
        <v>17</v>
      </c>
      <c r="E11">
        <v>165000</v>
      </c>
      <c r="F11">
        <v>162350</v>
      </c>
      <c r="G11">
        <v>29000</v>
      </c>
      <c r="H11">
        <v>53000</v>
      </c>
      <c r="I11">
        <v>1000</v>
      </c>
      <c r="J11">
        <v>800</v>
      </c>
      <c r="K11">
        <v>31000</v>
      </c>
      <c r="L11">
        <v>3200</v>
      </c>
      <c r="M11">
        <v>31000</v>
      </c>
      <c r="N11">
        <v>30350</v>
      </c>
      <c r="O11">
        <v>13700</v>
      </c>
    </row>
    <row r="12" spans="1:15" x14ac:dyDescent="0.25">
      <c r="A12" s="8">
        <v>46054</v>
      </c>
      <c r="B12" t="s">
        <v>22</v>
      </c>
      <c r="C12" t="s">
        <v>16</v>
      </c>
      <c r="D12" t="s">
        <v>17</v>
      </c>
      <c r="E12">
        <v>170000</v>
      </c>
      <c r="F12">
        <v>170820</v>
      </c>
      <c r="G12">
        <v>31000</v>
      </c>
      <c r="H12">
        <v>56000</v>
      </c>
      <c r="I12">
        <v>1100</v>
      </c>
      <c r="J12">
        <v>700</v>
      </c>
      <c r="K12">
        <v>33000</v>
      </c>
      <c r="L12">
        <v>3500</v>
      </c>
      <c r="M12">
        <v>33000</v>
      </c>
      <c r="N12">
        <v>32280</v>
      </c>
      <c r="O12">
        <v>14400</v>
      </c>
    </row>
    <row r="13" spans="1:15" x14ac:dyDescent="0.25">
      <c r="A13" s="8">
        <v>46082</v>
      </c>
      <c r="B13" t="s">
        <v>22</v>
      </c>
      <c r="C13" t="s">
        <v>16</v>
      </c>
      <c r="D13" t="s">
        <v>17</v>
      </c>
      <c r="E13">
        <v>175000</v>
      </c>
      <c r="F13">
        <v>186540</v>
      </c>
      <c r="G13">
        <v>33000</v>
      </c>
      <c r="H13">
        <v>62000</v>
      </c>
      <c r="I13">
        <v>900</v>
      </c>
      <c r="J13">
        <v>800</v>
      </c>
      <c r="K13">
        <v>34500</v>
      </c>
      <c r="L13">
        <v>5037</v>
      </c>
      <c r="M13">
        <v>34500</v>
      </c>
      <c r="N13">
        <v>33775</v>
      </c>
      <c r="O13">
        <v>15300</v>
      </c>
    </row>
    <row r="14" spans="1:15" x14ac:dyDescent="0.25">
      <c r="A14" s="8">
        <v>46023</v>
      </c>
      <c r="B14" t="s">
        <v>23</v>
      </c>
      <c r="C14" t="s">
        <v>24</v>
      </c>
      <c r="D14" t="s">
        <v>17</v>
      </c>
      <c r="E14">
        <v>170000</v>
      </c>
      <c r="F14">
        <v>172300</v>
      </c>
      <c r="G14">
        <v>31000</v>
      </c>
      <c r="H14">
        <v>55000</v>
      </c>
      <c r="I14">
        <v>1400</v>
      </c>
      <c r="J14">
        <v>700</v>
      </c>
      <c r="K14">
        <v>33000</v>
      </c>
      <c r="L14">
        <v>1900</v>
      </c>
      <c r="M14">
        <v>33000</v>
      </c>
      <c r="N14">
        <v>32750</v>
      </c>
      <c r="O14">
        <v>14600</v>
      </c>
    </row>
    <row r="15" spans="1:15" x14ac:dyDescent="0.25">
      <c r="A15" s="8">
        <v>46054</v>
      </c>
      <c r="B15" t="s">
        <v>23</v>
      </c>
      <c r="C15" t="s">
        <v>24</v>
      </c>
      <c r="D15" t="s">
        <v>17</v>
      </c>
      <c r="E15">
        <v>180000</v>
      </c>
      <c r="F15">
        <v>186540</v>
      </c>
      <c r="G15">
        <v>33000</v>
      </c>
      <c r="H15">
        <v>58000</v>
      </c>
      <c r="I15">
        <v>1200</v>
      </c>
      <c r="J15">
        <v>800</v>
      </c>
      <c r="K15">
        <v>35000</v>
      </c>
      <c r="L15">
        <v>2050</v>
      </c>
      <c r="M15">
        <v>35000</v>
      </c>
      <c r="N15">
        <v>34700</v>
      </c>
      <c r="O15">
        <v>15300</v>
      </c>
    </row>
    <row r="16" spans="1:15" x14ac:dyDescent="0.25">
      <c r="A16" s="8">
        <v>46082</v>
      </c>
      <c r="B16" t="s">
        <v>23</v>
      </c>
      <c r="C16" t="s">
        <v>24</v>
      </c>
      <c r="D16" t="s">
        <v>17</v>
      </c>
      <c r="E16">
        <v>190000</v>
      </c>
      <c r="F16">
        <v>195460</v>
      </c>
      <c r="G16">
        <v>35000</v>
      </c>
      <c r="H16">
        <v>61000</v>
      </c>
      <c r="I16">
        <v>1000</v>
      </c>
      <c r="J16">
        <v>900</v>
      </c>
      <c r="K16">
        <v>36200</v>
      </c>
      <c r="L16">
        <v>2140</v>
      </c>
      <c r="M16">
        <v>36200</v>
      </c>
      <c r="N16">
        <v>35950</v>
      </c>
      <c r="O16">
        <v>16000</v>
      </c>
    </row>
  </sheetData>
  <autoFilter ref="A1:O1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6"/>
  <sheetViews>
    <sheetView topLeftCell="I1" workbookViewId="0">
      <pane ySplit="1" topLeftCell="A2" activePane="bottomLeft" state="frozen"/>
      <selection pane="bottomLeft" activeCell="M2" sqref="M2"/>
    </sheetView>
  </sheetViews>
  <sheetFormatPr defaultRowHeight="15" x14ac:dyDescent="0.25"/>
  <cols>
    <col min="1" max="2" width="16" customWidth="1"/>
    <col min="3" max="6" width="20" customWidth="1"/>
    <col min="7" max="7" width="20.28515625" customWidth="1"/>
    <col min="8" max="8" width="22" customWidth="1"/>
    <col min="9" max="9" width="19" customWidth="1"/>
    <col min="10" max="10" width="25" customWidth="1"/>
    <col min="11" max="11" width="16" customWidth="1"/>
    <col min="12" max="12" width="21" customWidth="1"/>
    <col min="13" max="13" width="25" customWidth="1"/>
    <col min="14" max="14" width="22" customWidth="1"/>
    <col min="15" max="15" width="19" customWidth="1"/>
    <col min="16" max="16" width="16" customWidth="1"/>
    <col min="17" max="17" width="25" customWidth="1"/>
  </cols>
  <sheetData>
    <row r="1" spans="1:17" ht="39.950000000000003" customHeight="1" x14ac:dyDescent="0.25">
      <c r="A1" s="1" t="s">
        <v>0</v>
      </c>
      <c r="B1" s="1" t="s">
        <v>1</v>
      </c>
      <c r="C1" s="1" t="s">
        <v>5</v>
      </c>
      <c r="D1" s="13" t="s">
        <v>79</v>
      </c>
      <c r="E1" s="1" t="s">
        <v>7</v>
      </c>
      <c r="F1" s="1" t="s">
        <v>11</v>
      </c>
      <c r="G1" s="1" t="s">
        <v>14</v>
      </c>
      <c r="H1" s="13" t="s">
        <v>25</v>
      </c>
      <c r="I1" s="1" t="s">
        <v>26</v>
      </c>
      <c r="J1" s="1" t="s">
        <v>27</v>
      </c>
      <c r="K1" s="1" t="s">
        <v>28</v>
      </c>
      <c r="L1" s="1" t="s">
        <v>29</v>
      </c>
      <c r="M1" s="1" t="s">
        <v>30</v>
      </c>
      <c r="N1" s="1" t="s">
        <v>31</v>
      </c>
      <c r="O1" s="1" t="s">
        <v>32</v>
      </c>
      <c r="P1" s="1" t="s">
        <v>33</v>
      </c>
      <c r="Q1" s="1" t="s">
        <v>34</v>
      </c>
    </row>
    <row r="2" spans="1:17" x14ac:dyDescent="0.25">
      <c r="A2" s="8">
        <f>RawData!A2</f>
        <v>46023</v>
      </c>
      <c r="B2" s="2" t="str">
        <f>RawData!B2</f>
        <v>Outlet A</v>
      </c>
      <c r="C2" s="14">
        <f>RawData!F2</f>
        <v>152000</v>
      </c>
      <c r="D2" s="14">
        <f>RawData!E2</f>
        <v>155000</v>
      </c>
      <c r="E2" s="14">
        <v>52000</v>
      </c>
      <c r="F2" s="14">
        <v>1900</v>
      </c>
      <c r="G2" s="14">
        <v>13200</v>
      </c>
      <c r="H2" s="14">
        <f t="shared" ref="H2:H16" si="0">C2-D2</f>
        <v>-3000</v>
      </c>
      <c r="I2" s="16">
        <f t="shared" ref="I2:I16" si="1">IFERROR(H2/D2,0)</f>
        <v>-1.935483870967742E-2</v>
      </c>
      <c r="J2" s="14">
        <f>RawData!G2+RawData!H2+RawData!I2-RawData!J2-RawData!K2</f>
        <v>49200</v>
      </c>
      <c r="K2" s="3">
        <f t="shared" ref="K2:K16" si="2">IFERROR(J2/C2,0)</f>
        <v>0.3236842105263158</v>
      </c>
      <c r="L2" s="3">
        <f>32%</f>
        <v>0.32</v>
      </c>
      <c r="M2" s="3">
        <f t="shared" ref="M2:M16" si="3">K2-L2</f>
        <v>3.6842105263157898E-3</v>
      </c>
      <c r="N2" s="14">
        <f>RawData!N2-RawData!M2</f>
        <v>-250</v>
      </c>
      <c r="O2" s="3">
        <f>IFERROR(N2/RawData!M2,0)</f>
        <v>-7.9365079365079361E-3</v>
      </c>
      <c r="P2" s="3">
        <f>IFERROR(RawData!L2/C2,0)</f>
        <v>1.2500000000000001E-2</v>
      </c>
      <c r="Q2" s="7">
        <f>IFERROR(C2/RawData!O2,0)</f>
        <v>11.515151515151516</v>
      </c>
    </row>
    <row r="3" spans="1:17" x14ac:dyDescent="0.25">
      <c r="A3" s="8">
        <f>RawData!A3</f>
        <v>46054</v>
      </c>
      <c r="B3" s="2" t="str">
        <f>RawData!B3</f>
        <v>Outlet A</v>
      </c>
      <c r="C3" s="14">
        <f>RawData!F3</f>
        <v>160420</v>
      </c>
      <c r="D3" s="14">
        <f>RawData!E3</f>
        <v>160000</v>
      </c>
      <c r="E3" s="14">
        <v>53500</v>
      </c>
      <c r="F3" s="14">
        <v>1950</v>
      </c>
      <c r="G3" s="14">
        <v>13800</v>
      </c>
      <c r="H3" s="14">
        <f t="shared" si="0"/>
        <v>420</v>
      </c>
      <c r="I3" s="16">
        <f t="shared" si="1"/>
        <v>2.6250000000000002E-3</v>
      </c>
      <c r="J3" s="14">
        <f>RawData!G3+RawData!H3+RawData!I3-RawData!J3-RawData!K3</f>
        <v>51800</v>
      </c>
      <c r="K3" s="3">
        <f t="shared" si="2"/>
        <v>0.32290238124922077</v>
      </c>
      <c r="L3" s="3">
        <f>32%</f>
        <v>0.32</v>
      </c>
      <c r="M3" s="3">
        <f t="shared" si="3"/>
        <v>2.9023812492207646E-3</v>
      </c>
      <c r="N3" s="14">
        <f>RawData!N3-RawData!M3</f>
        <v>-250</v>
      </c>
      <c r="O3" s="3">
        <f>IFERROR(N3/RawData!M3,0)</f>
        <v>-7.4183976261127599E-3</v>
      </c>
      <c r="P3" s="3">
        <f>IFERROR(RawData!L3/C3,0)</f>
        <v>1.2155591572123177E-2</v>
      </c>
      <c r="Q3" s="7">
        <f>IFERROR(C3/RawData!O3,0)</f>
        <v>11.62463768115942</v>
      </c>
    </row>
    <row r="4" spans="1:17" x14ac:dyDescent="0.25">
      <c r="A4" s="8">
        <f>RawData!A4</f>
        <v>46082</v>
      </c>
      <c r="B4" s="2" t="str">
        <f>RawData!B4</f>
        <v>Outlet A</v>
      </c>
      <c r="C4" s="14">
        <f>RawData!F4</f>
        <v>180450</v>
      </c>
      <c r="D4" s="14">
        <f>RawData!E4</f>
        <v>175000</v>
      </c>
      <c r="E4" s="14">
        <v>56000</v>
      </c>
      <c r="F4" s="14">
        <v>2165</v>
      </c>
      <c r="G4" s="14">
        <v>14900</v>
      </c>
      <c r="H4" s="14">
        <f t="shared" si="0"/>
        <v>5450</v>
      </c>
      <c r="I4" s="16">
        <f t="shared" si="1"/>
        <v>3.1142857142857142E-2</v>
      </c>
      <c r="J4" s="14">
        <f>RawData!G4+RawData!H4+RawData!I4-RawData!J4-RawData!K4</f>
        <v>55000</v>
      </c>
      <c r="K4" s="3">
        <f t="shared" si="2"/>
        <v>0.30479357162648935</v>
      </c>
      <c r="L4" s="3">
        <f>32%</f>
        <v>0.32</v>
      </c>
      <c r="M4" s="3">
        <f t="shared" si="3"/>
        <v>-1.5206428373510661E-2</v>
      </c>
      <c r="N4" s="14">
        <f>RawData!N4-RawData!M4</f>
        <v>-280</v>
      </c>
      <c r="O4" s="3">
        <f>IFERROR(N4/RawData!M4,0)</f>
        <v>-8.0459770114942528E-3</v>
      </c>
      <c r="P4" s="3">
        <f>IFERROR(RawData!L4/C4,0)</f>
        <v>1.199778331947908E-2</v>
      </c>
      <c r="Q4" s="7">
        <f>IFERROR(C4/RawData!O4,0)</f>
        <v>12.110738255033556</v>
      </c>
    </row>
    <row r="5" spans="1:17" x14ac:dyDescent="0.25">
      <c r="A5" s="8">
        <f>RawData!A5</f>
        <v>46023</v>
      </c>
      <c r="B5" s="2" t="str">
        <f>RawData!B5</f>
        <v>Outlet B</v>
      </c>
      <c r="C5" s="14">
        <f>RawData!F5</f>
        <v>158000</v>
      </c>
      <c r="D5" s="14">
        <f>RawData!E5</f>
        <v>175000</v>
      </c>
      <c r="E5" s="14">
        <v>49000</v>
      </c>
      <c r="F5" s="14">
        <v>3000</v>
      </c>
      <c r="G5" s="14">
        <v>14000</v>
      </c>
      <c r="H5" s="14">
        <f t="shared" si="0"/>
        <v>-17000</v>
      </c>
      <c r="I5" s="16">
        <f t="shared" si="1"/>
        <v>-9.7142857142857142E-2</v>
      </c>
      <c r="J5" s="14">
        <f>RawData!G5+RawData!H5+RawData!I5-RawData!J5-RawData!K5</f>
        <v>50500</v>
      </c>
      <c r="K5" s="3">
        <f t="shared" si="2"/>
        <v>0.31962025316455694</v>
      </c>
      <c r="L5" s="3">
        <f>32%</f>
        <v>0.32</v>
      </c>
      <c r="M5" s="3">
        <f t="shared" si="3"/>
        <v>-3.797468354430622E-4</v>
      </c>
      <c r="N5" s="14">
        <f>RawData!N5-RawData!M5</f>
        <v>-850</v>
      </c>
      <c r="O5" s="3">
        <f>IFERROR(N5/RawData!M5,0)</f>
        <v>-2.9310344827586206E-2</v>
      </c>
      <c r="P5" s="3">
        <f>IFERROR(RawData!L5/C5,0)</f>
        <v>1.8987341772151899E-2</v>
      </c>
      <c r="Q5" s="7">
        <f>IFERROR(C5/RawData!O5,0)</f>
        <v>11.285714285714286</v>
      </c>
    </row>
    <row r="6" spans="1:17" x14ac:dyDescent="0.25">
      <c r="A6" s="8">
        <f>RawData!A6</f>
        <v>46054</v>
      </c>
      <c r="B6" s="2" t="str">
        <f>RawData!B6</f>
        <v>Outlet B</v>
      </c>
      <c r="C6" s="14">
        <f>RawData!F6</f>
        <v>160420</v>
      </c>
      <c r="D6" s="14">
        <f>RawData!E6</f>
        <v>180000</v>
      </c>
      <c r="E6" s="14">
        <v>52000</v>
      </c>
      <c r="F6" s="14">
        <v>3040</v>
      </c>
      <c r="G6" s="14">
        <v>14300</v>
      </c>
      <c r="H6" s="14">
        <f t="shared" si="0"/>
        <v>-19580</v>
      </c>
      <c r="I6" s="16">
        <f t="shared" si="1"/>
        <v>-0.10877777777777778</v>
      </c>
      <c r="J6" s="14">
        <f>RawData!G6+RawData!H6+RawData!I6-RawData!J6-RawData!K6</f>
        <v>50500</v>
      </c>
      <c r="K6" s="3">
        <f t="shared" si="2"/>
        <v>0.31479865353447201</v>
      </c>
      <c r="L6" s="3">
        <f>32%</f>
        <v>0.32</v>
      </c>
      <c r="M6" s="3">
        <f t="shared" si="3"/>
        <v>-5.2013464655280006E-3</v>
      </c>
      <c r="N6" s="14">
        <f>RawData!N6-RawData!M6</f>
        <v>-880</v>
      </c>
      <c r="O6" s="3">
        <f>IFERROR(N6/RawData!M6,0)</f>
        <v>-2.838709677419355E-2</v>
      </c>
      <c r="P6" s="3">
        <f>IFERROR(RawData!L6/C6,0)</f>
        <v>1.895025557910485E-2</v>
      </c>
      <c r="Q6" s="7">
        <f>IFERROR(C6/RawData!O6,0)</f>
        <v>11.218181818181819</v>
      </c>
    </row>
    <row r="7" spans="1:17" x14ac:dyDescent="0.25">
      <c r="A7" s="8">
        <f>RawData!A7</f>
        <v>46082</v>
      </c>
      <c r="B7" s="2" t="str">
        <f>RawData!B7</f>
        <v>Outlet B</v>
      </c>
      <c r="C7" s="14">
        <f>RawData!F7</f>
        <v>165230</v>
      </c>
      <c r="D7" s="14">
        <f>RawData!E7</f>
        <v>185000</v>
      </c>
      <c r="E7" s="14">
        <v>59000</v>
      </c>
      <c r="F7" s="14">
        <v>5122</v>
      </c>
      <c r="G7" s="14">
        <v>14550</v>
      </c>
      <c r="H7" s="14">
        <f t="shared" si="0"/>
        <v>-19770</v>
      </c>
      <c r="I7" s="16">
        <f t="shared" si="1"/>
        <v>-0.10686486486486486</v>
      </c>
      <c r="J7" s="14">
        <f>RawData!G7+RawData!H7+RawData!I7-RawData!J7-RawData!K7</f>
        <v>56800</v>
      </c>
      <c r="K7" s="3">
        <f t="shared" si="2"/>
        <v>0.34376323912122497</v>
      </c>
      <c r="L7" s="3">
        <f>32%</f>
        <v>0.32</v>
      </c>
      <c r="M7" s="3">
        <f t="shared" si="3"/>
        <v>2.3763239121224966E-2</v>
      </c>
      <c r="N7" s="14">
        <f>RawData!N7-RawData!M7</f>
        <v>-940</v>
      </c>
      <c r="O7" s="3">
        <f>IFERROR(N7/RawData!M7,0)</f>
        <v>-2.8059701492537312E-2</v>
      </c>
      <c r="P7" s="3">
        <f>IFERROR(RawData!L7/C7,0)</f>
        <v>3.099921321793863E-2</v>
      </c>
      <c r="Q7" s="7">
        <f>IFERROR(C7/RawData!O7,0)</f>
        <v>11.356013745704468</v>
      </c>
    </row>
    <row r="8" spans="1:17" x14ac:dyDescent="0.25">
      <c r="A8" s="8">
        <f>RawData!A8</f>
        <v>46023</v>
      </c>
      <c r="B8" s="2" t="str">
        <f>RawData!B8</f>
        <v>Outlet C</v>
      </c>
      <c r="C8" s="14">
        <f>RawData!F8</f>
        <v>189550</v>
      </c>
      <c r="D8" s="14">
        <f>RawData!E8</f>
        <v>190000</v>
      </c>
      <c r="E8" s="14">
        <v>61000</v>
      </c>
      <c r="F8" s="14">
        <v>2654</v>
      </c>
      <c r="G8" s="14">
        <v>16000</v>
      </c>
      <c r="H8" s="14">
        <f t="shared" si="0"/>
        <v>-450</v>
      </c>
      <c r="I8" s="16">
        <f t="shared" si="1"/>
        <v>-2.3684210526315791E-3</v>
      </c>
      <c r="J8" s="14">
        <f>RawData!G8+RawData!H8+RawData!I8-RawData!J8-RawData!K8</f>
        <v>59900</v>
      </c>
      <c r="K8" s="3">
        <f t="shared" si="2"/>
        <v>0.3160116064362965</v>
      </c>
      <c r="L8" s="3">
        <f>32%</f>
        <v>0.32</v>
      </c>
      <c r="M8" s="3">
        <f t="shared" si="3"/>
        <v>-3.9883935637035073E-3</v>
      </c>
      <c r="N8" s="14">
        <f>RawData!N8-RawData!M8</f>
        <v>-320</v>
      </c>
      <c r="O8" s="3">
        <f>IFERROR(N8/RawData!M8,0)</f>
        <v>-8.8888888888888889E-3</v>
      </c>
      <c r="P8" s="3">
        <f>IFERROR(RawData!L8/C8,0)</f>
        <v>1.4001582695858612E-2</v>
      </c>
      <c r="Q8" s="7">
        <f>IFERROR(C8/RawData!O8,0)</f>
        <v>11.846875000000001</v>
      </c>
    </row>
    <row r="9" spans="1:17" x14ac:dyDescent="0.25">
      <c r="A9" s="8">
        <f>RawData!A9</f>
        <v>46054</v>
      </c>
      <c r="B9" s="2" t="str">
        <f>RawData!B9</f>
        <v>Outlet C</v>
      </c>
      <c r="C9" s="14">
        <f>RawData!F9</f>
        <v>201760</v>
      </c>
      <c r="D9" s="14">
        <f>RawData!E9</f>
        <v>200000</v>
      </c>
      <c r="E9" s="14">
        <v>64000</v>
      </c>
      <c r="F9" s="14">
        <v>2825</v>
      </c>
      <c r="G9" s="14">
        <v>16800</v>
      </c>
      <c r="H9" s="14">
        <f t="shared" si="0"/>
        <v>1760</v>
      </c>
      <c r="I9" s="16">
        <f t="shared" si="1"/>
        <v>8.8000000000000005E-3</v>
      </c>
      <c r="J9" s="14">
        <f>RawData!G9+RawData!H9+RawData!I9-RawData!J9-RawData!K9</f>
        <v>61900</v>
      </c>
      <c r="K9" s="3">
        <f t="shared" si="2"/>
        <v>0.30680015860428234</v>
      </c>
      <c r="L9" s="3">
        <f>32%</f>
        <v>0.32</v>
      </c>
      <c r="M9" s="3">
        <f t="shared" si="3"/>
        <v>-1.3199841395717671E-2</v>
      </c>
      <c r="N9" s="14">
        <f>RawData!N9-RawData!M9</f>
        <v>-350</v>
      </c>
      <c r="O9" s="3">
        <f>IFERROR(N9/RawData!M9,0)</f>
        <v>-9.0206185567010301E-3</v>
      </c>
      <c r="P9" s="3">
        <f>IFERROR(RawData!L9/C9,0)</f>
        <v>1.4001784298176051E-2</v>
      </c>
      <c r="Q9" s="7">
        <f>IFERROR(C9/RawData!O9,0)</f>
        <v>12.009523809523809</v>
      </c>
    </row>
    <row r="10" spans="1:17" x14ac:dyDescent="0.25">
      <c r="A10" s="8">
        <f>RawData!A10</f>
        <v>46082</v>
      </c>
      <c r="B10" s="2" t="str">
        <f>RawData!B10</f>
        <v>Outlet C</v>
      </c>
      <c r="C10" s="14">
        <f>RawData!F10</f>
        <v>210540</v>
      </c>
      <c r="D10" s="14">
        <f>RawData!E10</f>
        <v>205000</v>
      </c>
      <c r="E10" s="14">
        <v>66000</v>
      </c>
      <c r="F10" s="14">
        <v>2948</v>
      </c>
      <c r="G10" s="14">
        <v>17400</v>
      </c>
      <c r="H10" s="14">
        <f t="shared" si="0"/>
        <v>5540</v>
      </c>
      <c r="I10" s="16">
        <f t="shared" si="1"/>
        <v>2.7024390243902439E-2</v>
      </c>
      <c r="J10" s="14">
        <f>RawData!G10+RawData!H10+RawData!I10-RawData!J10-RawData!K10</f>
        <v>64800</v>
      </c>
      <c r="K10" s="3">
        <f t="shared" si="2"/>
        <v>0.30777999430037045</v>
      </c>
      <c r="L10" s="3">
        <f>32%</f>
        <v>0.32</v>
      </c>
      <c r="M10" s="3">
        <f t="shared" si="3"/>
        <v>-1.2220005699629555E-2</v>
      </c>
      <c r="N10" s="14">
        <f>RawData!N10-RawData!M10</f>
        <v>-360</v>
      </c>
      <c r="O10" s="3">
        <f>IFERROR(N10/RawData!M10,0)</f>
        <v>-8.9552238805970154E-3</v>
      </c>
      <c r="P10" s="3">
        <f>IFERROR(RawData!L10/C10,0)</f>
        <v>1.400208986415883E-2</v>
      </c>
      <c r="Q10" s="7">
        <f>IFERROR(C10/RawData!O10,0)</f>
        <v>12.1</v>
      </c>
    </row>
    <row r="11" spans="1:17" x14ac:dyDescent="0.25">
      <c r="A11" s="8">
        <f>RawData!A11</f>
        <v>46023</v>
      </c>
      <c r="B11" s="2" t="str">
        <f>RawData!B11</f>
        <v>Outlet D</v>
      </c>
      <c r="C11" s="14">
        <f>RawData!F11</f>
        <v>162350</v>
      </c>
      <c r="D11" s="14">
        <f>RawData!E11</f>
        <v>165000</v>
      </c>
      <c r="E11" s="14">
        <v>53000</v>
      </c>
      <c r="F11" s="14">
        <v>3200</v>
      </c>
      <c r="G11" s="14">
        <v>13700</v>
      </c>
      <c r="H11" s="14">
        <f t="shared" si="0"/>
        <v>-2650</v>
      </c>
      <c r="I11" s="16">
        <f t="shared" si="1"/>
        <v>-1.606060606060606E-2</v>
      </c>
      <c r="J11" s="14">
        <f>RawData!G11+RawData!H11+RawData!I11-RawData!J11-RawData!K11</f>
        <v>51200</v>
      </c>
      <c r="K11" s="3">
        <f t="shared" si="2"/>
        <v>0.31536803202956576</v>
      </c>
      <c r="L11" s="3">
        <f>32%</f>
        <v>0.32</v>
      </c>
      <c r="M11" s="3">
        <f t="shared" si="3"/>
        <v>-4.6319679704342476E-3</v>
      </c>
      <c r="N11" s="14">
        <f>RawData!N11-RawData!M11</f>
        <v>-650</v>
      </c>
      <c r="O11" s="3">
        <f>IFERROR(N11/RawData!M11,0)</f>
        <v>-2.0967741935483872E-2</v>
      </c>
      <c r="P11" s="3">
        <f>IFERROR(RawData!L11/C11,0)</f>
        <v>1.971050200184786E-2</v>
      </c>
      <c r="Q11" s="7">
        <f>IFERROR(C11/RawData!O11,0)</f>
        <v>11.850364963503649</v>
      </c>
    </row>
    <row r="12" spans="1:17" x14ac:dyDescent="0.25">
      <c r="A12" s="8">
        <f>RawData!A12</f>
        <v>46054</v>
      </c>
      <c r="B12" s="2" t="str">
        <f>RawData!B12</f>
        <v>Outlet D</v>
      </c>
      <c r="C12" s="14">
        <f>RawData!F12</f>
        <v>170820</v>
      </c>
      <c r="D12" s="14">
        <f>RawData!E12</f>
        <v>170000</v>
      </c>
      <c r="E12" s="14">
        <v>56000</v>
      </c>
      <c r="F12" s="14">
        <v>3500</v>
      </c>
      <c r="G12" s="14">
        <v>14400</v>
      </c>
      <c r="H12" s="14">
        <f t="shared" si="0"/>
        <v>820</v>
      </c>
      <c r="I12" s="16">
        <f t="shared" si="1"/>
        <v>4.8235294117647057E-3</v>
      </c>
      <c r="J12" s="14">
        <f>RawData!G12+RawData!H12+RawData!I12-RawData!J12-RawData!K12</f>
        <v>54400</v>
      </c>
      <c r="K12" s="3">
        <f t="shared" si="2"/>
        <v>0.3184638801077157</v>
      </c>
      <c r="L12" s="3">
        <f>32%</f>
        <v>0.32</v>
      </c>
      <c r="M12" s="3">
        <f t="shared" si="3"/>
        <v>-1.5361198922843045E-3</v>
      </c>
      <c r="N12" s="14">
        <f>RawData!N12-RawData!M12</f>
        <v>-720</v>
      </c>
      <c r="O12" s="3">
        <f>IFERROR(N12/RawData!M12,0)</f>
        <v>-2.181818181818182E-2</v>
      </c>
      <c r="P12" s="3">
        <f>IFERROR(RawData!L12/C12,0)</f>
        <v>2.0489404051047887E-2</v>
      </c>
      <c r="Q12" s="7">
        <f>IFERROR(C12/RawData!O12,0)</f>
        <v>11.862500000000001</v>
      </c>
    </row>
    <row r="13" spans="1:17" x14ac:dyDescent="0.25">
      <c r="A13" s="8">
        <f>RawData!A13</f>
        <v>46082</v>
      </c>
      <c r="B13" s="2" t="str">
        <f>RawData!B13</f>
        <v>Outlet D</v>
      </c>
      <c r="C13" s="14">
        <f>RawData!F13</f>
        <v>186540</v>
      </c>
      <c r="D13" s="14">
        <f>RawData!E13</f>
        <v>175000</v>
      </c>
      <c r="E13" s="14">
        <v>62000</v>
      </c>
      <c r="F13" s="14">
        <v>5037</v>
      </c>
      <c r="G13" s="14">
        <v>15300</v>
      </c>
      <c r="H13" s="14">
        <f t="shared" si="0"/>
        <v>11540</v>
      </c>
      <c r="I13" s="16">
        <f t="shared" si="1"/>
        <v>6.5942857142857136E-2</v>
      </c>
      <c r="J13" s="14">
        <f>RawData!G13+RawData!H13+RawData!I13-RawData!J13-RawData!K13</f>
        <v>60600</v>
      </c>
      <c r="K13" s="3">
        <f t="shared" si="2"/>
        <v>0.32486330009649406</v>
      </c>
      <c r="L13" s="3">
        <f>32%</f>
        <v>0.32</v>
      </c>
      <c r="M13" s="3">
        <f t="shared" si="3"/>
        <v>4.8633000964940498E-3</v>
      </c>
      <c r="N13" s="14">
        <f>RawData!N13-RawData!M13</f>
        <v>-725</v>
      </c>
      <c r="O13" s="3">
        <f>IFERROR(N13/RawData!M13,0)</f>
        <v>-2.1014492753623187E-2</v>
      </c>
      <c r="P13" s="3">
        <f>IFERROR(RawData!L13/C13,0)</f>
        <v>2.700225152782245E-2</v>
      </c>
      <c r="Q13" s="7">
        <f>IFERROR(C13/RawData!O13,0)</f>
        <v>12.192156862745097</v>
      </c>
    </row>
    <row r="14" spans="1:17" x14ac:dyDescent="0.25">
      <c r="A14" s="8">
        <f>RawData!A14</f>
        <v>46023</v>
      </c>
      <c r="B14" s="2" t="str">
        <f>RawData!B14</f>
        <v>Outlet E</v>
      </c>
      <c r="C14" s="14">
        <f>RawData!F14</f>
        <v>172300</v>
      </c>
      <c r="D14" s="14">
        <f>RawData!E14</f>
        <v>170000</v>
      </c>
      <c r="E14" s="14">
        <v>55000</v>
      </c>
      <c r="F14" s="14">
        <v>1900</v>
      </c>
      <c r="G14" s="14">
        <v>14600</v>
      </c>
      <c r="H14" s="14">
        <f t="shared" si="0"/>
        <v>2300</v>
      </c>
      <c r="I14" s="16">
        <f t="shared" si="1"/>
        <v>1.3529411764705882E-2</v>
      </c>
      <c r="J14" s="14">
        <f>RawData!G14+RawData!H14+RawData!I14-RawData!J14-RawData!K14</f>
        <v>53700</v>
      </c>
      <c r="K14" s="3">
        <f t="shared" si="2"/>
        <v>0.31166569936157862</v>
      </c>
      <c r="L14" s="3">
        <f>32%</f>
        <v>0.32</v>
      </c>
      <c r="M14" s="3">
        <f t="shared" si="3"/>
        <v>-8.334300638421388E-3</v>
      </c>
      <c r="N14" s="14">
        <f>RawData!N14-RawData!M14</f>
        <v>-250</v>
      </c>
      <c r="O14" s="3">
        <f>IFERROR(N14/RawData!M14,0)</f>
        <v>-7.575757575757576E-3</v>
      </c>
      <c r="P14" s="3">
        <f>IFERROR(RawData!L14/C14,0)</f>
        <v>1.1027278003482298E-2</v>
      </c>
      <c r="Q14" s="7">
        <f>IFERROR(C14/RawData!O14,0)</f>
        <v>11.801369863013699</v>
      </c>
    </row>
    <row r="15" spans="1:17" x14ac:dyDescent="0.25">
      <c r="A15" s="8">
        <f>RawData!A15</f>
        <v>46054</v>
      </c>
      <c r="B15" s="2" t="str">
        <f>RawData!B15</f>
        <v>Outlet E</v>
      </c>
      <c r="C15" s="14">
        <f>RawData!F15</f>
        <v>186540</v>
      </c>
      <c r="D15" s="14">
        <f>RawData!E15</f>
        <v>180000</v>
      </c>
      <c r="E15" s="14">
        <v>58000</v>
      </c>
      <c r="F15" s="14">
        <v>2050</v>
      </c>
      <c r="G15" s="14">
        <v>15300</v>
      </c>
      <c r="H15" s="14">
        <f t="shared" si="0"/>
        <v>6540</v>
      </c>
      <c r="I15" s="16">
        <f t="shared" si="1"/>
        <v>3.6333333333333336E-2</v>
      </c>
      <c r="J15" s="14">
        <f>RawData!G15+RawData!H15+RawData!I15-RawData!J15-RawData!K15</f>
        <v>56400</v>
      </c>
      <c r="K15" s="3">
        <f t="shared" si="2"/>
        <v>0.30234802187198456</v>
      </c>
      <c r="L15" s="3">
        <f>32%</f>
        <v>0.32</v>
      </c>
      <c r="M15" s="3">
        <f t="shared" si="3"/>
        <v>-1.7651978128015444E-2</v>
      </c>
      <c r="N15" s="14">
        <f>RawData!N15-RawData!M15</f>
        <v>-300</v>
      </c>
      <c r="O15" s="3">
        <f>IFERROR(N15/RawData!M15,0)</f>
        <v>-8.5714285714285719E-3</v>
      </c>
      <c r="P15" s="3">
        <f>IFERROR(RawData!L15/C15,0)</f>
        <v>1.0989600085772488E-2</v>
      </c>
      <c r="Q15" s="7">
        <f>IFERROR(C15/RawData!O15,0)</f>
        <v>12.192156862745097</v>
      </c>
    </row>
    <row r="16" spans="1:17" x14ac:dyDescent="0.25">
      <c r="A16" s="8">
        <f>RawData!A16</f>
        <v>46082</v>
      </c>
      <c r="B16" s="2" t="str">
        <f>RawData!B16</f>
        <v>Outlet E</v>
      </c>
      <c r="C16" s="14">
        <f>RawData!F16</f>
        <v>195460</v>
      </c>
      <c r="D16" s="14">
        <f>RawData!E16</f>
        <v>190000</v>
      </c>
      <c r="E16" s="14">
        <v>61000</v>
      </c>
      <c r="F16" s="14">
        <v>2140</v>
      </c>
      <c r="G16" s="14">
        <v>16000</v>
      </c>
      <c r="H16" s="14">
        <f t="shared" si="0"/>
        <v>5460</v>
      </c>
      <c r="I16" s="16">
        <f t="shared" si="1"/>
        <v>2.8736842105263158E-2</v>
      </c>
      <c r="J16" s="14">
        <f>RawData!G16+RawData!H16+RawData!I16-RawData!J16-RawData!K16</f>
        <v>59900</v>
      </c>
      <c r="K16" s="3">
        <f t="shared" si="2"/>
        <v>0.30645656400286503</v>
      </c>
      <c r="L16" s="3">
        <f>32%</f>
        <v>0.32</v>
      </c>
      <c r="M16" s="3">
        <f t="shared" si="3"/>
        <v>-1.3543435997134978E-2</v>
      </c>
      <c r="N16" s="14">
        <f>RawData!N16-RawData!M16</f>
        <v>-250</v>
      </c>
      <c r="O16" s="3">
        <f>IFERROR(N16/RawData!M16,0)</f>
        <v>-6.9060773480662981E-3</v>
      </c>
      <c r="P16" s="3">
        <f>IFERROR(RawData!L16/C16,0)</f>
        <v>1.0948531668883659E-2</v>
      </c>
      <c r="Q16" s="7">
        <f>IFERROR(C16/RawData!O16,0)</f>
        <v>12.21625</v>
      </c>
    </row>
  </sheetData>
  <phoneticPr fontId="5" type="noConversion"/>
  <conditionalFormatting sqref="M2:M16">
    <cfRule type="cellIs" dxfId="1" priority="1" operator="lessThan">
      <formula>0</formula>
    </cfRule>
    <cfRule type="cellIs" dxfId="0" priority="2" operator="greaterThan">
      <formula>0</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EF2BA-5967-4DF5-AADD-D660F7804FCD}">
  <dimension ref="A3:F69"/>
  <sheetViews>
    <sheetView topLeftCell="A31" workbookViewId="0">
      <selection activeCell="D49" sqref="D49"/>
    </sheetView>
  </sheetViews>
  <sheetFormatPr defaultRowHeight="15" x14ac:dyDescent="0.25"/>
  <cols>
    <col min="1" max="1" width="9" bestFit="1" customWidth="1"/>
    <col min="2" max="2" width="12.140625" bestFit="1" customWidth="1"/>
    <col min="3" max="3" width="15.140625" bestFit="1" customWidth="1"/>
    <col min="4" max="4" width="14.28515625" bestFit="1" customWidth="1"/>
    <col min="5" max="5" width="18.5703125" bestFit="1" customWidth="1"/>
    <col min="6" max="6" width="8.140625" bestFit="1" customWidth="1"/>
    <col min="7" max="7" width="26.140625" bestFit="1" customWidth="1"/>
    <col min="8" max="16" width="6.140625" bestFit="1" customWidth="1"/>
    <col min="17" max="17" width="18.5703125" bestFit="1" customWidth="1"/>
    <col min="18" max="27" width="5.85546875" bestFit="1" customWidth="1"/>
    <col min="28" max="31" width="5.140625" bestFit="1" customWidth="1"/>
    <col min="32" max="32" width="24.7109375" bestFit="1" customWidth="1"/>
    <col min="33" max="42" width="5.85546875" bestFit="1" customWidth="1"/>
    <col min="43" max="46" width="5.140625" bestFit="1" customWidth="1"/>
  </cols>
  <sheetData>
    <row r="3" spans="1:2" x14ac:dyDescent="0.25">
      <c r="A3" t="s">
        <v>59</v>
      </c>
    </row>
    <row r="4" spans="1:2" x14ac:dyDescent="0.25">
      <c r="A4" s="14">
        <v>2652380</v>
      </c>
      <c r="B4" s="17">
        <f>GETPIVOTDATA("Actual Sales (RM)",$A$3)</f>
        <v>2652380</v>
      </c>
    </row>
    <row r="5" spans="1:2" x14ac:dyDescent="0.25">
      <c r="B5" s="17"/>
    </row>
    <row r="6" spans="1:2" x14ac:dyDescent="0.25">
      <c r="A6" t="s">
        <v>61</v>
      </c>
      <c r="B6" s="17"/>
    </row>
    <row r="7" spans="1:2" x14ac:dyDescent="0.25">
      <c r="A7" s="14">
        <v>836600</v>
      </c>
      <c r="B7" s="17">
        <f>GETPIVOTDATA("COGS / Stock Usage (RM)",$A$6)</f>
        <v>836600</v>
      </c>
    </row>
    <row r="8" spans="1:2" x14ac:dyDescent="0.25">
      <c r="B8" s="17"/>
    </row>
    <row r="9" spans="1:2" x14ac:dyDescent="0.25">
      <c r="A9" t="s">
        <v>60</v>
      </c>
      <c r="B9" s="17"/>
    </row>
    <row r="10" spans="1:2" x14ac:dyDescent="0.25">
      <c r="A10" s="14">
        <v>857500</v>
      </c>
      <c r="B10" s="17">
        <f>GETPIVOTDATA("Purchases (RM)",$A$9)</f>
        <v>857500</v>
      </c>
    </row>
    <row r="11" spans="1:2" x14ac:dyDescent="0.25">
      <c r="B11" s="17"/>
    </row>
    <row r="12" spans="1:2" x14ac:dyDescent="0.25">
      <c r="A12" t="s">
        <v>62</v>
      </c>
      <c r="B12" s="17"/>
    </row>
    <row r="13" spans="1:2" x14ac:dyDescent="0.25">
      <c r="A13" s="14">
        <v>-7375</v>
      </c>
      <c r="B13" s="17">
        <f>GETPIVOTDATA("Stock Variance (RM)",$A$12)</f>
        <v>-7375</v>
      </c>
    </row>
    <row r="14" spans="1:2" x14ac:dyDescent="0.25">
      <c r="B14" s="17"/>
    </row>
    <row r="15" spans="1:2" x14ac:dyDescent="0.25">
      <c r="A15" t="s">
        <v>63</v>
      </c>
      <c r="B15" s="17"/>
    </row>
    <row r="16" spans="1:2" x14ac:dyDescent="0.25">
      <c r="A16" s="14">
        <v>43431</v>
      </c>
      <c r="B16" s="17">
        <f>GETPIVOTDATA("Wastage Cost (RM)",$A$15)</f>
        <v>43431</v>
      </c>
    </row>
    <row r="17" spans="1:6" x14ac:dyDescent="0.25">
      <c r="B17" s="17"/>
    </row>
    <row r="18" spans="1:6" x14ac:dyDescent="0.25">
      <c r="A18" t="s">
        <v>64</v>
      </c>
      <c r="B18" s="17"/>
    </row>
    <row r="19" spans="1:6" x14ac:dyDescent="0.25">
      <c r="A19" s="14">
        <v>224250</v>
      </c>
      <c r="B19" s="17">
        <f>GETPIVOTDATA("Transactions",$A$18)</f>
        <v>224250</v>
      </c>
    </row>
    <row r="22" spans="1:6" x14ac:dyDescent="0.25">
      <c r="A22" s="12" t="s">
        <v>68</v>
      </c>
      <c r="B22" s="12" t="s">
        <v>0</v>
      </c>
    </row>
    <row r="23" spans="1:6" x14ac:dyDescent="0.25">
      <c r="A23" s="12" t="s">
        <v>1</v>
      </c>
      <c r="B23" t="s">
        <v>65</v>
      </c>
      <c r="C23" t="s">
        <v>66</v>
      </c>
      <c r="D23" t="s">
        <v>67</v>
      </c>
    </row>
    <row r="24" spans="1:6" x14ac:dyDescent="0.25">
      <c r="A24" s="15" t="s">
        <v>15</v>
      </c>
      <c r="B24" s="14">
        <v>152000</v>
      </c>
      <c r="C24" s="14">
        <v>160420</v>
      </c>
      <c r="D24" s="14">
        <v>180450</v>
      </c>
    </row>
    <row r="25" spans="1:6" x14ac:dyDescent="0.25">
      <c r="A25" s="15" t="s">
        <v>18</v>
      </c>
      <c r="B25" s="14">
        <v>158000</v>
      </c>
      <c r="C25" s="14">
        <v>160420</v>
      </c>
      <c r="D25" s="14">
        <v>165230</v>
      </c>
    </row>
    <row r="26" spans="1:6" x14ac:dyDescent="0.25">
      <c r="A26" s="15" t="s">
        <v>20</v>
      </c>
      <c r="B26" s="14">
        <v>189550</v>
      </c>
      <c r="C26" s="14">
        <v>201760</v>
      </c>
      <c r="D26" s="14">
        <v>210540</v>
      </c>
    </row>
    <row r="27" spans="1:6" x14ac:dyDescent="0.25">
      <c r="A27" s="15" t="s">
        <v>22</v>
      </c>
      <c r="B27" s="14">
        <v>162350</v>
      </c>
      <c r="C27" s="14">
        <v>170820</v>
      </c>
      <c r="D27" s="14">
        <v>186540</v>
      </c>
    </row>
    <row r="28" spans="1:6" x14ac:dyDescent="0.25">
      <c r="A28" s="15" t="s">
        <v>23</v>
      </c>
      <c r="B28" s="14">
        <v>172300</v>
      </c>
      <c r="C28" s="14">
        <v>186540</v>
      </c>
      <c r="D28" s="14">
        <v>195460</v>
      </c>
    </row>
    <row r="31" spans="1:6" x14ac:dyDescent="0.25">
      <c r="A31" s="12" t="s">
        <v>69</v>
      </c>
      <c r="B31" s="12" t="s">
        <v>0</v>
      </c>
    </row>
    <row r="32" spans="1:6" x14ac:dyDescent="0.25">
      <c r="A32" s="12" t="s">
        <v>1</v>
      </c>
      <c r="B32" t="s">
        <v>15</v>
      </c>
      <c r="C32" t="s">
        <v>18</v>
      </c>
      <c r="D32" t="s">
        <v>20</v>
      </c>
      <c r="E32" t="s">
        <v>22</v>
      </c>
      <c r="F32" t="s">
        <v>23</v>
      </c>
    </row>
    <row r="33" spans="1:6" x14ac:dyDescent="0.25">
      <c r="A33" s="15" t="s">
        <v>65</v>
      </c>
      <c r="B33" s="16">
        <v>0.3236842105263158</v>
      </c>
      <c r="C33" s="16">
        <v>0.31962025316455694</v>
      </c>
      <c r="D33" s="16">
        <v>0.3160116064362965</v>
      </c>
      <c r="E33" s="16">
        <v>0.31536803202956576</v>
      </c>
      <c r="F33" s="16">
        <v>0.31166569936157862</v>
      </c>
    </row>
    <row r="34" spans="1:6" x14ac:dyDescent="0.25">
      <c r="A34" s="15" t="s">
        <v>66</v>
      </c>
      <c r="B34" s="16">
        <v>0.32290238124922077</v>
      </c>
      <c r="C34" s="16">
        <v>0.31479865353447201</v>
      </c>
      <c r="D34" s="16">
        <v>0.30680015860428234</v>
      </c>
      <c r="E34" s="16">
        <v>0.3184638801077157</v>
      </c>
      <c r="F34" s="16">
        <v>0.30234802187198456</v>
      </c>
    </row>
    <row r="35" spans="1:6" x14ac:dyDescent="0.25">
      <c r="A35" s="15" t="s">
        <v>67</v>
      </c>
      <c r="B35" s="16">
        <v>0.30479357162648935</v>
      </c>
      <c r="C35" s="16">
        <v>0.34376323912122497</v>
      </c>
      <c r="D35" s="16">
        <v>0.30777999430037045</v>
      </c>
      <c r="E35" s="16">
        <v>0.32486330009649406</v>
      </c>
      <c r="F35" s="16">
        <v>0.30645656400286503</v>
      </c>
    </row>
    <row r="40" spans="1:6" x14ac:dyDescent="0.25">
      <c r="A40" s="12" t="s">
        <v>1</v>
      </c>
      <c r="B40" t="s">
        <v>70</v>
      </c>
    </row>
    <row r="41" spans="1:6" x14ac:dyDescent="0.25">
      <c r="A41" s="15" t="s">
        <v>15</v>
      </c>
      <c r="B41" s="18">
        <v>0.18582179024121731</v>
      </c>
    </row>
    <row r="42" spans="1:6" x14ac:dyDescent="0.25">
      <c r="A42" s="15" t="s">
        <v>18</v>
      </c>
      <c r="B42" s="18">
        <v>0.18234566691047285</v>
      </c>
    </row>
    <row r="43" spans="1:6" x14ac:dyDescent="0.25">
      <c r="A43" s="15" t="s">
        <v>20</v>
      </c>
      <c r="B43" s="18">
        <v>0.22690941720266328</v>
      </c>
    </row>
    <row r="44" spans="1:6" x14ac:dyDescent="0.25">
      <c r="A44" s="15" t="s">
        <v>22</v>
      </c>
      <c r="B44" s="18">
        <v>0.19594100392854719</v>
      </c>
    </row>
    <row r="45" spans="1:6" x14ac:dyDescent="0.25">
      <c r="A45" s="15" t="s">
        <v>23</v>
      </c>
      <c r="B45" s="18">
        <v>0.20898212171709937</v>
      </c>
    </row>
    <row r="48" spans="1:6" x14ac:dyDescent="0.25">
      <c r="A48" s="12" t="s">
        <v>1</v>
      </c>
      <c r="B48" t="s">
        <v>83</v>
      </c>
      <c r="C48" t="s">
        <v>84</v>
      </c>
      <c r="D48" t="s">
        <v>85</v>
      </c>
    </row>
    <row r="49" spans="1:5" x14ac:dyDescent="0.25">
      <c r="A49" s="15" t="s">
        <v>15</v>
      </c>
      <c r="B49" s="17">
        <v>492870</v>
      </c>
      <c r="C49" s="17">
        <v>161500</v>
      </c>
      <c r="D49" s="17">
        <v>156000</v>
      </c>
    </row>
    <row r="50" spans="1:5" x14ac:dyDescent="0.25">
      <c r="A50" s="15" t="s">
        <v>18</v>
      </c>
      <c r="B50" s="17">
        <v>483650</v>
      </c>
      <c r="C50" s="17">
        <v>160000</v>
      </c>
      <c r="D50" s="17">
        <v>157800</v>
      </c>
    </row>
    <row r="51" spans="1:5" x14ac:dyDescent="0.25">
      <c r="A51" s="15" t="s">
        <v>20</v>
      </c>
      <c r="B51" s="17">
        <v>601850</v>
      </c>
      <c r="C51" s="17">
        <v>191000</v>
      </c>
      <c r="D51" s="17">
        <v>186600</v>
      </c>
    </row>
    <row r="52" spans="1:5" x14ac:dyDescent="0.25">
      <c r="A52" s="15" t="s">
        <v>22</v>
      </c>
      <c r="B52" s="17">
        <v>519710</v>
      </c>
      <c r="C52" s="17">
        <v>171000</v>
      </c>
      <c r="D52" s="17">
        <v>166200</v>
      </c>
    </row>
    <row r="53" spans="1:5" x14ac:dyDescent="0.25">
      <c r="A53" s="15" t="s">
        <v>23</v>
      </c>
      <c r="B53" s="17">
        <v>554300</v>
      </c>
      <c r="C53" s="17">
        <v>174000</v>
      </c>
      <c r="D53" s="17">
        <v>170000</v>
      </c>
    </row>
    <row r="56" spans="1:5" x14ac:dyDescent="0.25">
      <c r="A56" s="12" t="s">
        <v>1</v>
      </c>
      <c r="B56" t="s">
        <v>71</v>
      </c>
      <c r="C56" t="s">
        <v>69</v>
      </c>
      <c r="D56" t="s">
        <v>77</v>
      </c>
      <c r="E56" t="s">
        <v>75</v>
      </c>
    </row>
    <row r="57" spans="1:5" x14ac:dyDescent="0.25">
      <c r="A57" s="15" t="s">
        <v>20</v>
      </c>
      <c r="B57" s="17">
        <v>601850</v>
      </c>
      <c r="C57" s="3">
        <v>0.31019725311364982</v>
      </c>
      <c r="D57" s="3">
        <v>0.32</v>
      </c>
      <c r="E57" s="18">
        <v>-2.9408240659050733E-2</v>
      </c>
    </row>
    <row r="58" spans="1:5" x14ac:dyDescent="0.25">
      <c r="A58" s="15" t="s">
        <v>23</v>
      </c>
      <c r="B58" s="17">
        <v>554300</v>
      </c>
      <c r="C58" s="3">
        <v>0.30682342841214277</v>
      </c>
      <c r="D58" s="3">
        <v>0.32</v>
      </c>
      <c r="E58" s="18">
        <v>-3.952971476357181E-2</v>
      </c>
    </row>
    <row r="59" spans="1:5" x14ac:dyDescent="0.25">
      <c r="A59" s="15" t="s">
        <v>22</v>
      </c>
      <c r="B59" s="17">
        <v>519710</v>
      </c>
      <c r="C59" s="3">
        <v>0.31956507074459184</v>
      </c>
      <c r="D59" s="3">
        <v>0.32</v>
      </c>
      <c r="E59" s="18">
        <v>-1.3047877662245022E-3</v>
      </c>
    </row>
    <row r="60" spans="1:5" x14ac:dyDescent="0.25">
      <c r="A60" s="15" t="s">
        <v>15</v>
      </c>
      <c r="B60" s="17">
        <v>492870</v>
      </c>
      <c r="C60" s="3">
        <v>0.31712672113400864</v>
      </c>
      <c r="D60" s="3">
        <v>0.32</v>
      </c>
      <c r="E60" s="18">
        <v>-8.6198365979741065E-3</v>
      </c>
    </row>
    <row r="61" spans="1:5" x14ac:dyDescent="0.25">
      <c r="A61" s="15" t="s">
        <v>18</v>
      </c>
      <c r="B61" s="17">
        <v>483650</v>
      </c>
      <c r="C61" s="3">
        <v>0.32606071527341796</v>
      </c>
      <c r="D61" s="3">
        <v>0.32</v>
      </c>
      <c r="E61" s="18">
        <v>1.8182145820253903E-2</v>
      </c>
    </row>
    <row r="63" spans="1:5" x14ac:dyDescent="0.25">
      <c r="E63" s="18"/>
    </row>
    <row r="64" spans="1:5" x14ac:dyDescent="0.25">
      <c r="A64" s="12" t="s">
        <v>1</v>
      </c>
      <c r="B64" t="s">
        <v>70</v>
      </c>
      <c r="C64" t="s">
        <v>80</v>
      </c>
      <c r="D64" t="s">
        <v>81</v>
      </c>
    </row>
    <row r="65" spans="1:4" x14ac:dyDescent="0.25">
      <c r="A65" s="15" t="s">
        <v>18</v>
      </c>
      <c r="B65" s="17">
        <v>483650</v>
      </c>
      <c r="C65" s="17">
        <v>540000</v>
      </c>
      <c r="D65" s="17">
        <v>-56350</v>
      </c>
    </row>
    <row r="66" spans="1:4" x14ac:dyDescent="0.25">
      <c r="A66" s="15" t="s">
        <v>15</v>
      </c>
      <c r="B66" s="17">
        <v>492870</v>
      </c>
      <c r="C66" s="17">
        <v>490000</v>
      </c>
      <c r="D66" s="17">
        <v>2870</v>
      </c>
    </row>
    <row r="67" spans="1:4" x14ac:dyDescent="0.25">
      <c r="A67" s="15" t="s">
        <v>20</v>
      </c>
      <c r="B67" s="17">
        <v>601850</v>
      </c>
      <c r="C67" s="17">
        <v>595000</v>
      </c>
      <c r="D67" s="17">
        <v>6850</v>
      </c>
    </row>
    <row r="68" spans="1:4" x14ac:dyDescent="0.25">
      <c r="A68" s="15" t="s">
        <v>22</v>
      </c>
      <c r="B68" s="17">
        <v>519710</v>
      </c>
      <c r="C68" s="17">
        <v>510000</v>
      </c>
      <c r="D68" s="17">
        <v>9710</v>
      </c>
    </row>
    <row r="69" spans="1:4" x14ac:dyDescent="0.25">
      <c r="A69" s="15" t="s">
        <v>23</v>
      </c>
      <c r="B69" s="17">
        <v>554300</v>
      </c>
      <c r="C69" s="17">
        <v>540000</v>
      </c>
      <c r="D69" s="17">
        <v>14300</v>
      </c>
    </row>
  </sheetData>
  <conditionalFormatting pivot="1" sqref="D65:D69">
    <cfRule type="cellIs" dxfId="14"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70588-A084-40E4-82B5-B7FC8E1377C9}">
  <dimension ref="A1:V36"/>
  <sheetViews>
    <sheetView showGridLines="0" showRowColHeaders="0" tabSelected="1" zoomScale="97" zoomScaleNormal="97" workbookViewId="0">
      <selection activeCell="D1" sqref="D1"/>
    </sheetView>
  </sheetViews>
  <sheetFormatPr defaultRowHeight="15" x14ac:dyDescent="0.25"/>
  <cols>
    <col min="1" max="1" width="9.140625" style="11"/>
    <col min="2" max="2" width="9" style="11" customWidth="1"/>
    <col min="3" max="3" width="4.85546875" style="11" customWidth="1"/>
    <col min="4" max="4" width="2.85546875" style="10" customWidth="1"/>
    <col min="5" max="5" width="9.140625" style="10"/>
    <col min="6" max="6" width="12.7109375" style="10" bestFit="1" customWidth="1"/>
    <col min="7" max="7" width="11.28515625" style="10" customWidth="1"/>
    <col min="8" max="9" width="12.28515625" style="10" bestFit="1" customWidth="1"/>
    <col min="10" max="16384" width="9.140625" style="10"/>
  </cols>
  <sheetData>
    <row r="1" spans="1:22" x14ac:dyDescent="0.25">
      <c r="A1" s="30"/>
      <c r="B1" s="9"/>
      <c r="C1" s="9"/>
      <c r="D1"/>
      <c r="E1"/>
      <c r="F1"/>
      <c r="G1"/>
      <c r="H1"/>
      <c r="I1"/>
      <c r="J1"/>
      <c r="K1"/>
      <c r="L1"/>
      <c r="M1"/>
      <c r="N1"/>
      <c r="O1"/>
      <c r="P1"/>
      <c r="Q1"/>
      <c r="R1"/>
      <c r="S1"/>
      <c r="T1"/>
      <c r="U1"/>
      <c r="V1"/>
    </row>
    <row r="2" spans="1:22" x14ac:dyDescent="0.25">
      <c r="A2" s="9"/>
      <c r="B2" s="9"/>
      <c r="C2" s="9"/>
      <c r="D2"/>
      <c r="E2"/>
      <c r="F2"/>
      <c r="G2"/>
      <c r="H2"/>
      <c r="I2"/>
      <c r="J2"/>
      <c r="K2"/>
      <c r="L2"/>
      <c r="M2"/>
      <c r="N2"/>
      <c r="O2"/>
      <c r="P2"/>
      <c r="Q2"/>
      <c r="R2"/>
      <c r="S2"/>
      <c r="T2"/>
      <c r="U2"/>
      <c r="V2"/>
    </row>
    <row r="3" spans="1:22" x14ac:dyDescent="0.25">
      <c r="A3" s="9"/>
      <c r="B3" s="9"/>
      <c r="C3" s="9"/>
      <c r="D3"/>
      <c r="E3"/>
      <c r="F3"/>
      <c r="G3"/>
      <c r="H3"/>
      <c r="I3"/>
      <c r="J3"/>
      <c r="K3"/>
      <c r="L3"/>
      <c r="M3"/>
      <c r="N3"/>
      <c r="O3"/>
      <c r="P3"/>
      <c r="Q3"/>
      <c r="R3"/>
      <c r="S3"/>
      <c r="T3"/>
      <c r="U3"/>
      <c r="V3"/>
    </row>
    <row r="4" spans="1:22" x14ac:dyDescent="0.25">
      <c r="A4" s="9"/>
      <c r="B4" s="9"/>
      <c r="C4" s="9"/>
      <c r="D4"/>
      <c r="E4"/>
      <c r="F4"/>
      <c r="G4"/>
      <c r="H4"/>
      <c r="I4"/>
      <c r="J4"/>
      <c r="K4"/>
      <c r="L4"/>
      <c r="M4"/>
      <c r="N4"/>
      <c r="O4"/>
      <c r="P4"/>
      <c r="Q4"/>
      <c r="R4"/>
      <c r="S4"/>
      <c r="T4"/>
      <c r="U4"/>
      <c r="V4"/>
    </row>
    <row r="5" spans="1:22" x14ac:dyDescent="0.25">
      <c r="A5" s="9"/>
      <c r="B5" s="9"/>
      <c r="C5" s="9"/>
      <c r="D5"/>
      <c r="E5"/>
      <c r="F5"/>
      <c r="G5"/>
      <c r="H5"/>
      <c r="I5"/>
      <c r="J5"/>
      <c r="K5"/>
      <c r="L5"/>
      <c r="M5"/>
      <c r="N5"/>
      <c r="O5"/>
      <c r="P5"/>
      <c r="Q5"/>
      <c r="R5"/>
      <c r="S5"/>
      <c r="T5"/>
      <c r="U5"/>
      <c r="V5"/>
    </row>
    <row r="6" spans="1:22" x14ac:dyDescent="0.25">
      <c r="A6" s="9"/>
      <c r="B6" s="9"/>
      <c r="C6" s="9"/>
      <c r="D6"/>
      <c r="E6"/>
      <c r="F6"/>
      <c r="G6"/>
      <c r="H6"/>
      <c r="I6"/>
      <c r="J6"/>
      <c r="K6"/>
      <c r="L6"/>
      <c r="M6"/>
      <c r="N6"/>
      <c r="O6"/>
      <c r="P6"/>
      <c r="Q6"/>
      <c r="R6"/>
      <c r="S6"/>
      <c r="T6"/>
      <c r="U6"/>
      <c r="V6"/>
    </row>
    <row r="7" spans="1:22" x14ac:dyDescent="0.25">
      <c r="A7" s="9"/>
      <c r="B7" s="9"/>
      <c r="C7" s="9"/>
      <c r="D7"/>
      <c r="E7"/>
      <c r="F7"/>
      <c r="G7"/>
      <c r="H7"/>
      <c r="I7"/>
      <c r="J7"/>
      <c r="K7"/>
      <c r="L7"/>
      <c r="M7"/>
      <c r="N7"/>
      <c r="O7"/>
      <c r="P7"/>
      <c r="Q7"/>
      <c r="R7"/>
      <c r="S7"/>
      <c r="T7"/>
      <c r="U7"/>
      <c r="V7"/>
    </row>
    <row r="8" spans="1:22" x14ac:dyDescent="0.25">
      <c r="A8" s="9"/>
      <c r="B8" s="9"/>
      <c r="C8" s="9"/>
      <c r="D8"/>
      <c r="E8"/>
      <c r="F8"/>
      <c r="G8"/>
      <c r="H8"/>
      <c r="I8"/>
      <c r="J8"/>
      <c r="K8"/>
      <c r="L8"/>
      <c r="M8"/>
      <c r="N8"/>
      <c r="O8"/>
      <c r="P8"/>
      <c r="Q8"/>
      <c r="R8"/>
      <c r="S8"/>
      <c r="T8"/>
      <c r="U8"/>
      <c r="V8"/>
    </row>
    <row r="9" spans="1:22" x14ac:dyDescent="0.25">
      <c r="A9" s="9"/>
      <c r="B9" s="9"/>
      <c r="C9" s="9"/>
      <c r="D9"/>
      <c r="E9"/>
      <c r="F9"/>
      <c r="G9"/>
      <c r="H9"/>
      <c r="I9"/>
      <c r="J9"/>
      <c r="K9"/>
      <c r="L9"/>
      <c r="M9"/>
      <c r="N9"/>
      <c r="O9"/>
      <c r="P9"/>
      <c r="Q9"/>
      <c r="R9"/>
      <c r="S9"/>
      <c r="T9"/>
      <c r="U9"/>
      <c r="V9"/>
    </row>
    <row r="10" spans="1:22" x14ac:dyDescent="0.25">
      <c r="A10" s="9"/>
      <c r="B10" s="9"/>
      <c r="C10" s="9"/>
      <c r="D10"/>
      <c r="E10"/>
      <c r="F10"/>
      <c r="G10"/>
      <c r="H10"/>
      <c r="I10"/>
      <c r="J10"/>
      <c r="K10"/>
      <c r="L10"/>
      <c r="M10"/>
      <c r="N10"/>
      <c r="O10"/>
      <c r="P10"/>
      <c r="Q10"/>
      <c r="R10"/>
      <c r="S10"/>
      <c r="T10"/>
      <c r="U10"/>
      <c r="V10"/>
    </row>
    <row r="11" spans="1:22" x14ac:dyDescent="0.25">
      <c r="A11" s="9"/>
      <c r="B11" s="9"/>
      <c r="C11" s="9"/>
      <c r="D11"/>
      <c r="E11"/>
      <c r="F11"/>
      <c r="G11"/>
      <c r="H11"/>
      <c r="I11"/>
      <c r="J11"/>
      <c r="K11"/>
      <c r="L11"/>
      <c r="M11"/>
      <c r="N11"/>
      <c r="O11"/>
      <c r="P11"/>
      <c r="Q11"/>
      <c r="R11"/>
      <c r="S11"/>
      <c r="T11"/>
      <c r="U11"/>
      <c r="V11"/>
    </row>
    <row r="12" spans="1:22" x14ac:dyDescent="0.25">
      <c r="A12" s="9"/>
      <c r="B12" s="9"/>
      <c r="C12" s="9"/>
      <c r="D12"/>
      <c r="E12"/>
      <c r="F12"/>
      <c r="G12"/>
      <c r="H12"/>
      <c r="I12"/>
      <c r="J12"/>
      <c r="K12"/>
      <c r="L12"/>
      <c r="M12"/>
      <c r="N12"/>
      <c r="O12"/>
      <c r="P12"/>
      <c r="Q12"/>
      <c r="R12"/>
      <c r="S12"/>
      <c r="T12"/>
      <c r="U12"/>
      <c r="V12"/>
    </row>
    <row r="13" spans="1:22" x14ac:dyDescent="0.25">
      <c r="A13" s="9"/>
      <c r="B13" s="9"/>
      <c r="C13" s="9"/>
      <c r="D13"/>
      <c r="E13"/>
      <c r="F13"/>
      <c r="G13"/>
      <c r="H13"/>
      <c r="I13"/>
      <c r="J13"/>
      <c r="K13"/>
      <c r="L13"/>
      <c r="M13"/>
      <c r="N13"/>
      <c r="O13"/>
      <c r="P13"/>
      <c r="Q13"/>
      <c r="R13"/>
      <c r="S13"/>
      <c r="T13"/>
      <c r="U13"/>
      <c r="V13"/>
    </row>
    <row r="14" spans="1:22" x14ac:dyDescent="0.25">
      <c r="A14" s="9"/>
      <c r="B14" s="9"/>
      <c r="C14" s="9"/>
      <c r="D14"/>
      <c r="E14"/>
      <c r="F14"/>
      <c r="G14"/>
      <c r="H14"/>
      <c r="I14"/>
      <c r="J14"/>
      <c r="K14"/>
      <c r="L14"/>
      <c r="M14"/>
      <c r="N14"/>
      <c r="O14"/>
      <c r="P14"/>
      <c r="Q14"/>
      <c r="R14"/>
      <c r="S14"/>
      <c r="T14"/>
      <c r="U14"/>
      <c r="V14"/>
    </row>
    <row r="15" spans="1:22" x14ac:dyDescent="0.25">
      <c r="A15" s="9"/>
      <c r="B15" s="9"/>
      <c r="C15" s="9"/>
      <c r="D15"/>
      <c r="E15"/>
      <c r="F15"/>
      <c r="G15"/>
      <c r="H15"/>
      <c r="I15"/>
      <c r="J15"/>
      <c r="K15"/>
      <c r="L15"/>
      <c r="M15"/>
      <c r="N15"/>
      <c r="O15"/>
      <c r="P15"/>
      <c r="Q15"/>
      <c r="R15"/>
      <c r="S15"/>
      <c r="T15"/>
      <c r="U15"/>
      <c r="V15"/>
    </row>
    <row r="16" spans="1:22" x14ac:dyDescent="0.25">
      <c r="A16" s="9"/>
      <c r="B16" s="9"/>
      <c r="C16" s="9"/>
      <c r="D16"/>
      <c r="E16"/>
      <c r="F16"/>
      <c r="G16"/>
      <c r="H16"/>
      <c r="I16"/>
      <c r="J16"/>
      <c r="K16"/>
      <c r="L16"/>
      <c r="M16"/>
      <c r="N16"/>
      <c r="O16"/>
      <c r="P16"/>
      <c r="Q16"/>
      <c r="R16"/>
      <c r="S16"/>
      <c r="T16"/>
      <c r="U16"/>
      <c r="V16"/>
    </row>
    <row r="17" spans="1:22" x14ac:dyDescent="0.25">
      <c r="A17" s="9"/>
      <c r="B17" s="9"/>
      <c r="C17" s="9"/>
      <c r="D17"/>
      <c r="E17"/>
      <c r="F17"/>
      <c r="G17"/>
      <c r="H17"/>
      <c r="I17"/>
      <c r="J17"/>
      <c r="K17"/>
      <c r="L17"/>
      <c r="M17"/>
      <c r="N17"/>
      <c r="O17"/>
      <c r="P17"/>
      <c r="Q17"/>
      <c r="R17"/>
      <c r="S17"/>
      <c r="T17"/>
      <c r="U17"/>
      <c r="V17"/>
    </row>
    <row r="18" spans="1:22" ht="15" customHeight="1" x14ac:dyDescent="0.25">
      <c r="A18" s="9"/>
      <c r="B18" s="9"/>
      <c r="C18" s="9"/>
      <c r="D18" s="19"/>
      <c r="E18" s="36" t="s">
        <v>78</v>
      </c>
      <c r="F18" s="36"/>
      <c r="G18" s="36"/>
      <c r="H18" s="36"/>
      <c r="I18" s="36"/>
      <c r="J18"/>
      <c r="K18"/>
      <c r="L18"/>
      <c r="M18"/>
      <c r="N18"/>
      <c r="O18"/>
      <c r="P18"/>
      <c r="Q18"/>
      <c r="R18"/>
      <c r="S18"/>
      <c r="T18"/>
      <c r="U18"/>
      <c r="V18"/>
    </row>
    <row r="19" spans="1:22" ht="15" customHeight="1" x14ac:dyDescent="0.25">
      <c r="A19" s="9"/>
      <c r="B19" s="9"/>
      <c r="C19" s="9"/>
      <c r="D19"/>
      <c r="E19" s="36"/>
      <c r="F19" s="36"/>
      <c r="G19" s="36"/>
      <c r="H19" s="36"/>
      <c r="I19" s="36"/>
      <c r="J19"/>
      <c r="K19"/>
      <c r="L19"/>
      <c r="M19"/>
      <c r="N19"/>
      <c r="O19"/>
      <c r="P19"/>
      <c r="Q19"/>
      <c r="R19"/>
      <c r="S19"/>
      <c r="T19"/>
      <c r="U19"/>
      <c r="V19"/>
    </row>
    <row r="20" spans="1:22" ht="15" customHeight="1" x14ac:dyDescent="0.25">
      <c r="A20" s="9"/>
      <c r="B20" s="9"/>
      <c r="C20" s="9"/>
      <c r="D20"/>
      <c r="E20" s="26" t="s">
        <v>1</v>
      </c>
      <c r="F20" s="26" t="s">
        <v>74</v>
      </c>
      <c r="G20" s="31" t="s">
        <v>72</v>
      </c>
      <c r="H20" s="26" t="s">
        <v>76</v>
      </c>
      <c r="I20" s="26" t="s">
        <v>73</v>
      </c>
      <c r="J20"/>
      <c r="K20"/>
      <c r="L20"/>
      <c r="M20"/>
      <c r="N20"/>
      <c r="O20"/>
      <c r="P20"/>
      <c r="Q20"/>
      <c r="R20"/>
      <c r="S20"/>
      <c r="T20"/>
      <c r="U20"/>
      <c r="V20"/>
    </row>
    <row r="21" spans="1:22" ht="15" customHeight="1" x14ac:dyDescent="0.25">
      <c r="A21" s="9"/>
      <c r="B21" s="9"/>
      <c r="C21" s="9"/>
      <c r="D21"/>
      <c r="E21" s="22" t="str">
        <f>'Pivot Table'!A57</f>
        <v>Outlet C</v>
      </c>
      <c r="F21" s="20">
        <f>'Pivot Table'!B57</f>
        <v>601850</v>
      </c>
      <c r="G21" s="23">
        <f>'Pivot Table'!C57</f>
        <v>0.31019725311364982</v>
      </c>
      <c r="H21" s="21">
        <f>'Pivot Table'!D57</f>
        <v>0.32</v>
      </c>
      <c r="I21" s="23">
        <f>ABS(G21-H21)</f>
        <v>9.8027468863501888E-3</v>
      </c>
      <c r="J21"/>
      <c r="K21"/>
      <c r="L21"/>
      <c r="M21"/>
      <c r="N21"/>
      <c r="O21"/>
      <c r="P21"/>
      <c r="Q21"/>
      <c r="R21"/>
      <c r="S21"/>
      <c r="T21"/>
      <c r="U21"/>
      <c r="V21"/>
    </row>
    <row r="22" spans="1:22" x14ac:dyDescent="0.25">
      <c r="A22" s="9"/>
      <c r="B22" s="9"/>
      <c r="C22" s="9"/>
      <c r="D22"/>
      <c r="E22" s="22" t="str">
        <f>'Pivot Table'!A58</f>
        <v>Outlet E</v>
      </c>
      <c r="F22" s="20">
        <f>'Pivot Table'!B58</f>
        <v>554300</v>
      </c>
      <c r="G22" s="23">
        <f>'Pivot Table'!C58</f>
        <v>0.30682342841214277</v>
      </c>
      <c r="H22" s="21">
        <f>'Pivot Table'!D58</f>
        <v>0.32</v>
      </c>
      <c r="I22" s="23">
        <f t="shared" ref="I22:I24" si="0">ABS(G22-H22)</f>
        <v>1.3176571587857233E-2</v>
      </c>
      <c r="J22"/>
      <c r="K22"/>
      <c r="L22"/>
      <c r="M22"/>
      <c r="N22"/>
      <c r="O22"/>
      <c r="P22"/>
      <c r="Q22"/>
      <c r="R22"/>
      <c r="S22"/>
      <c r="T22"/>
      <c r="U22"/>
      <c r="V22"/>
    </row>
    <row r="23" spans="1:22" x14ac:dyDescent="0.25">
      <c r="A23" s="9"/>
      <c r="B23" s="9"/>
      <c r="C23" s="9"/>
      <c r="D23"/>
      <c r="E23" s="22" t="str">
        <f>'Pivot Table'!A59</f>
        <v>Outlet D</v>
      </c>
      <c r="F23" s="20">
        <f>'Pivot Table'!B59</f>
        <v>519710</v>
      </c>
      <c r="G23" s="23">
        <f>'Pivot Table'!C59</f>
        <v>0.31956507074459184</v>
      </c>
      <c r="H23" s="21">
        <f>'Pivot Table'!D59</f>
        <v>0.32</v>
      </c>
      <c r="I23" s="23">
        <f t="shared" si="0"/>
        <v>4.349292554081674E-4</v>
      </c>
      <c r="J23"/>
      <c r="K23"/>
      <c r="L23"/>
      <c r="M23"/>
      <c r="N23"/>
      <c r="O23"/>
      <c r="P23"/>
      <c r="Q23"/>
      <c r="R23"/>
      <c r="S23"/>
      <c r="T23"/>
      <c r="U23"/>
      <c r="V23"/>
    </row>
    <row r="24" spans="1:22" x14ac:dyDescent="0.25">
      <c r="A24" s="9"/>
      <c r="B24" s="9"/>
      <c r="C24" s="9"/>
      <c r="D24"/>
      <c r="E24" s="22" t="str">
        <f>'Pivot Table'!A60</f>
        <v>Outlet A</v>
      </c>
      <c r="F24" s="20">
        <f>'Pivot Table'!B60</f>
        <v>492870</v>
      </c>
      <c r="G24" s="23">
        <f>'Pivot Table'!C60</f>
        <v>0.31712672113400864</v>
      </c>
      <c r="H24" s="21">
        <f>'Pivot Table'!D60</f>
        <v>0.32</v>
      </c>
      <c r="I24" s="23">
        <f t="shared" si="0"/>
        <v>2.8732788659913688E-3</v>
      </c>
      <c r="J24"/>
      <c r="K24"/>
      <c r="L24"/>
      <c r="M24"/>
      <c r="N24"/>
      <c r="O24"/>
      <c r="P24"/>
      <c r="Q24"/>
      <c r="R24"/>
      <c r="S24"/>
      <c r="T24"/>
      <c r="U24"/>
      <c r="V24"/>
    </row>
    <row r="25" spans="1:22" x14ac:dyDescent="0.25">
      <c r="A25" s="9"/>
      <c r="B25" s="9"/>
      <c r="C25" s="9"/>
      <c r="D25"/>
      <c r="E25" s="37" t="str">
        <f>'Pivot Table'!A61</f>
        <v>Outlet B</v>
      </c>
      <c r="F25" s="38">
        <f>'Pivot Table'!B61</f>
        <v>483650</v>
      </c>
      <c r="G25" s="39">
        <f>'Pivot Table'!C61</f>
        <v>0.32606071527341796</v>
      </c>
      <c r="H25" s="40">
        <f>'Pivot Table'!D61</f>
        <v>0.32</v>
      </c>
      <c r="I25" s="41">
        <f t="shared" ref="I25" si="1">G25-H25</f>
        <v>6.0607152734179492E-3</v>
      </c>
      <c r="J25"/>
      <c r="K25"/>
      <c r="L25"/>
      <c r="M25"/>
      <c r="N25"/>
      <c r="O25"/>
      <c r="P25"/>
      <c r="Q25"/>
      <c r="R25"/>
      <c r="S25"/>
      <c r="T25"/>
      <c r="U25"/>
      <c r="V25"/>
    </row>
    <row r="26" spans="1:22" x14ac:dyDescent="0.25">
      <c r="A26" s="9"/>
      <c r="B26" s="9"/>
      <c r="C26" s="9"/>
      <c r="D26"/>
      <c r="E26"/>
      <c r="F26"/>
      <c r="G26"/>
      <c r="H26"/>
      <c r="I26"/>
      <c r="J26"/>
      <c r="K26"/>
      <c r="L26"/>
      <c r="M26"/>
      <c r="N26"/>
      <c r="O26"/>
      <c r="P26"/>
      <c r="Q26"/>
      <c r="R26"/>
      <c r="S26"/>
      <c r="T26"/>
      <c r="U26"/>
      <c r="V26"/>
    </row>
    <row r="27" spans="1:22" ht="15" customHeight="1" x14ac:dyDescent="0.25">
      <c r="A27" s="9"/>
      <c r="B27" s="9"/>
      <c r="C27" s="9"/>
      <c r="D27"/>
      <c r="E27" s="35" t="s">
        <v>50</v>
      </c>
      <c r="F27" s="35"/>
      <c r="G27" s="35"/>
      <c r="H27" s="35"/>
      <c r="I27" s="25"/>
      <c r="J27" s="25"/>
      <c r="K27" s="25"/>
      <c r="L27" s="25"/>
      <c r="M27"/>
      <c r="N27"/>
      <c r="O27"/>
      <c r="P27"/>
      <c r="Q27"/>
      <c r="R27"/>
      <c r="S27"/>
      <c r="T27"/>
      <c r="U27"/>
      <c r="V27"/>
    </row>
    <row r="28" spans="1:22" ht="15" customHeight="1" x14ac:dyDescent="0.25">
      <c r="D28"/>
      <c r="E28" s="27" t="s">
        <v>1</v>
      </c>
      <c r="F28" s="27" t="s">
        <v>82</v>
      </c>
      <c r="G28" s="27" t="s">
        <v>76</v>
      </c>
      <c r="H28" s="28" t="s">
        <v>73</v>
      </c>
      <c r="I28"/>
      <c r="J28"/>
      <c r="K28" s="24"/>
      <c r="L28"/>
      <c r="M28"/>
      <c r="N28"/>
      <c r="O28"/>
      <c r="P28"/>
      <c r="Q28"/>
      <c r="R28"/>
      <c r="S28"/>
      <c r="T28"/>
      <c r="U28"/>
      <c r="V28"/>
    </row>
    <row r="29" spans="1:22" x14ac:dyDescent="0.25">
      <c r="D29"/>
      <c r="E29" s="32" t="str">
        <f>'Pivot Table'!A65</f>
        <v>Outlet B</v>
      </c>
      <c r="F29" s="33">
        <f>'Pivot Table'!B65</f>
        <v>483650</v>
      </c>
      <c r="G29" s="33">
        <f>'Pivot Table'!C65</f>
        <v>540000</v>
      </c>
      <c r="H29" s="34">
        <f>'Pivot Table'!D65</f>
        <v>-56350</v>
      </c>
      <c r="I29"/>
      <c r="J29"/>
      <c r="K29"/>
      <c r="L29"/>
      <c r="M29"/>
      <c r="N29"/>
      <c r="O29"/>
      <c r="P29"/>
      <c r="Q29"/>
      <c r="R29"/>
      <c r="S29"/>
      <c r="T29"/>
      <c r="U29"/>
      <c r="V29"/>
    </row>
    <row r="30" spans="1:22" x14ac:dyDescent="0.25">
      <c r="D30"/>
      <c r="E30" s="22" t="str">
        <f>'Pivot Table'!A66</f>
        <v>Outlet A</v>
      </c>
      <c r="F30" s="29">
        <f>'Pivot Table'!B66</f>
        <v>492870</v>
      </c>
      <c r="G30" s="29">
        <f>'Pivot Table'!C66</f>
        <v>490000</v>
      </c>
      <c r="H30" s="29">
        <f>'Pivot Table'!D66</f>
        <v>2870</v>
      </c>
      <c r="I30"/>
      <c r="J30"/>
      <c r="K30"/>
      <c r="L30"/>
      <c r="M30"/>
      <c r="N30"/>
      <c r="O30"/>
      <c r="P30"/>
      <c r="Q30"/>
      <c r="R30"/>
      <c r="S30"/>
      <c r="T30"/>
      <c r="U30"/>
      <c r="V30"/>
    </row>
    <row r="31" spans="1:22" x14ac:dyDescent="0.25">
      <c r="D31"/>
      <c r="E31" s="22" t="str">
        <f>'Pivot Table'!A67</f>
        <v>Outlet C</v>
      </c>
      <c r="F31" s="29">
        <f>'Pivot Table'!B67</f>
        <v>601850</v>
      </c>
      <c r="G31" s="29">
        <f>'Pivot Table'!C67</f>
        <v>595000</v>
      </c>
      <c r="H31" s="29">
        <f>'Pivot Table'!D67</f>
        <v>6850</v>
      </c>
      <c r="I31"/>
      <c r="J31"/>
      <c r="K31"/>
      <c r="L31"/>
      <c r="M31"/>
      <c r="N31"/>
      <c r="O31"/>
      <c r="P31"/>
      <c r="Q31"/>
      <c r="R31"/>
      <c r="S31"/>
      <c r="T31"/>
      <c r="U31"/>
      <c r="V31"/>
    </row>
    <row r="32" spans="1:22" x14ac:dyDescent="0.25">
      <c r="D32"/>
      <c r="E32"/>
      <c r="F32"/>
      <c r="G32"/>
      <c r="H32" s="22"/>
      <c r="I32"/>
      <c r="J32"/>
      <c r="K32"/>
      <c r="L32"/>
      <c r="M32"/>
      <c r="N32"/>
      <c r="O32"/>
      <c r="P32"/>
      <c r="Q32"/>
      <c r="R32"/>
      <c r="S32"/>
      <c r="T32"/>
      <c r="U32"/>
      <c r="V32"/>
    </row>
    <row r="33" spans="4:22" x14ac:dyDescent="0.25">
      <c r="D33"/>
      <c r="E33"/>
      <c r="F33"/>
      <c r="G33"/>
      <c r="H33"/>
      <c r="I33"/>
      <c r="J33"/>
      <c r="K33"/>
      <c r="L33"/>
      <c r="M33"/>
      <c r="N33"/>
      <c r="O33"/>
      <c r="P33"/>
      <c r="Q33"/>
      <c r="R33"/>
      <c r="S33"/>
      <c r="T33"/>
      <c r="U33"/>
      <c r="V33"/>
    </row>
    <row r="34" spans="4:22" x14ac:dyDescent="0.25">
      <c r="D34"/>
      <c r="E34"/>
      <c r="F34"/>
      <c r="G34"/>
      <c r="H34"/>
      <c r="I34"/>
      <c r="J34"/>
      <c r="K34"/>
      <c r="L34"/>
      <c r="M34"/>
      <c r="N34"/>
      <c r="O34"/>
      <c r="P34"/>
      <c r="Q34"/>
      <c r="R34"/>
      <c r="S34"/>
      <c r="T34"/>
      <c r="U34"/>
      <c r="V34"/>
    </row>
    <row r="35" spans="4:22" x14ac:dyDescent="0.25">
      <c r="D35"/>
      <c r="E35"/>
      <c r="F35"/>
      <c r="G35"/>
      <c r="H35"/>
      <c r="I35"/>
      <c r="J35"/>
      <c r="K35"/>
      <c r="L35"/>
      <c r="M35"/>
      <c r="N35"/>
      <c r="O35"/>
      <c r="P35"/>
      <c r="Q35"/>
      <c r="R35"/>
      <c r="S35"/>
      <c r="T35"/>
      <c r="U35"/>
      <c r="V35"/>
    </row>
    <row r="36" spans="4:22" x14ac:dyDescent="0.25">
      <c r="D36"/>
      <c r="E36"/>
      <c r="F36"/>
      <c r="G36"/>
      <c r="H36"/>
      <c r="I36"/>
      <c r="J36"/>
      <c r="K36"/>
      <c r="L36"/>
      <c r="M36"/>
      <c r="N36"/>
      <c r="O36"/>
      <c r="P36"/>
      <c r="Q36"/>
      <c r="R36"/>
      <c r="S36"/>
      <c r="T36"/>
      <c r="U36"/>
      <c r="V36"/>
    </row>
  </sheetData>
  <mergeCells count="2">
    <mergeCell ref="E27:H27"/>
    <mergeCell ref="E18:I19"/>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B9" sqref="B9"/>
    </sheetView>
  </sheetViews>
  <sheetFormatPr defaultRowHeight="15" x14ac:dyDescent="0.25"/>
  <cols>
    <col min="1" max="1" width="24" customWidth="1"/>
    <col min="2" max="2" width="115" customWidth="1"/>
  </cols>
  <sheetData>
    <row r="1" spans="1:2" ht="35.1" customHeight="1" x14ac:dyDescent="0.25">
      <c r="A1" s="4" t="s">
        <v>35</v>
      </c>
      <c r="B1" s="5" t="s">
        <v>36</v>
      </c>
    </row>
    <row r="2" spans="1:2" ht="35.1" customHeight="1" x14ac:dyDescent="0.25">
      <c r="A2" s="4" t="s">
        <v>37</v>
      </c>
      <c r="B2" s="6" t="s">
        <v>38</v>
      </c>
    </row>
    <row r="3" spans="1:2" ht="35.1" customHeight="1" x14ac:dyDescent="0.25">
      <c r="A3" s="4" t="s">
        <v>39</v>
      </c>
      <c r="B3" s="5" t="s">
        <v>40</v>
      </c>
    </row>
    <row r="4" spans="1:2" ht="35.1" customHeight="1" x14ac:dyDescent="0.25">
      <c r="A4" s="4" t="s">
        <v>41</v>
      </c>
      <c r="B4" s="6" t="s">
        <v>42</v>
      </c>
    </row>
    <row r="5" spans="1:2" ht="35.1" customHeight="1" x14ac:dyDescent="0.25">
      <c r="A5" s="4" t="s">
        <v>43</v>
      </c>
      <c r="B5" s="5" t="s">
        <v>44</v>
      </c>
    </row>
    <row r="6" spans="1:2" ht="35.1" customHeight="1" x14ac:dyDescent="0.25">
      <c r="A6" s="4" t="s">
        <v>45</v>
      </c>
      <c r="B6" s="6" t="s">
        <v>46</v>
      </c>
    </row>
    <row r="7" spans="1:2" ht="35.1" customHeight="1" x14ac:dyDescent="0.25">
      <c r="A7" s="4" t="s">
        <v>28</v>
      </c>
      <c r="B7" s="5" t="s">
        <v>47</v>
      </c>
    </row>
    <row r="8" spans="1:2" ht="35.1" customHeight="1" x14ac:dyDescent="0.25">
      <c r="A8" s="4" t="s">
        <v>48</v>
      </c>
      <c r="B8" s="6" t="s">
        <v>49</v>
      </c>
    </row>
    <row r="9" spans="1:2" ht="35.1" customHeight="1" x14ac:dyDescent="0.25">
      <c r="A9" s="4" t="s">
        <v>50</v>
      </c>
      <c r="B9" s="5" t="s">
        <v>51</v>
      </c>
    </row>
    <row r="10" spans="1:2" ht="35.1" customHeight="1" x14ac:dyDescent="0.25">
      <c r="A10" s="4" t="s">
        <v>33</v>
      </c>
      <c r="B10" s="6" t="s">
        <v>52</v>
      </c>
    </row>
    <row r="11" spans="1:2" ht="35.1" customHeight="1" x14ac:dyDescent="0.25">
      <c r="A11" s="4" t="s">
        <v>53</v>
      </c>
      <c r="B11" s="5" t="s">
        <v>54</v>
      </c>
    </row>
    <row r="12" spans="1:2" ht="35.1" customHeight="1" x14ac:dyDescent="0.25">
      <c r="A12" s="4" t="s">
        <v>55</v>
      </c>
      <c r="B12" s="6" t="s">
        <v>56</v>
      </c>
    </row>
    <row r="13" spans="1:2" ht="35.1" customHeight="1" x14ac:dyDescent="0.25">
      <c r="A13" s="4" t="s">
        <v>57</v>
      </c>
      <c r="B13" s="5" t="s">
        <v>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RawData</vt:lpstr>
      <vt:lpstr>Analysis</vt:lpstr>
      <vt:lpstr>Pivot Table</vt:lpstr>
      <vt:lpstr>Dashboard</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Hazim Nawi</cp:lastModifiedBy>
  <dcterms:created xsi:type="dcterms:W3CDTF">2026-10-09T18:00:24Z</dcterms:created>
  <dcterms:modified xsi:type="dcterms:W3CDTF">2026-10-14T21:49:23Z</dcterms:modified>
</cp:coreProperties>
</file>